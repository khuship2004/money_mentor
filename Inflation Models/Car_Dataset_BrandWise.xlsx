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Model_Prices" sheetId="1" state="visible" r:id="rId3"/>
    <sheet name="Brand_Avg_Price" sheetId="2" state="visible" r:id="rId4"/>
    <sheet name="Segment_Avg_Pri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<sst xmlns="http://schemas.openxmlformats.org/spreadsheetml/2006/main" count="2782" uniqueCount="509">
  <si>
    <t xml:space="preserve">India Car Market — Complete Model Price Database (₹ Lakh, Base Variant, Ex-Showroom Delhi) | 2015–2025</t>
  </si>
  <si>
    <t xml:space="preserve">Sources: CarDekho / CarWale / ZigWheels archives, AutocarIndia price history, TeamBHP data, SIAM | Base petrol/EV variant | N/A = pre-launch or discontinued | * Ford exited India Sep 2021</t>
  </si>
  <si>
    <t xml:space="preserve">Brand</t>
  </si>
  <si>
    <t xml:space="preserve">Model</t>
  </si>
  <si>
    <t xml:space="preserve">Segment</t>
  </si>
  <si>
    <t xml:space="preserve">Notes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</si>
  <si>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</si>
  <si>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</si>
  <si>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</si>
  <si>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</si>
  <si>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</si>
  <si>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</si>
  <si>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</si>
  <si>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</si>
  <si>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</si>
  <si>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</si>
  <si>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</si>
  <si>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CAGR
(Active Yrs)</t>
  </si>
  <si>
    <t xml:space="preserve">% Change
(First→Last)</t>
  </si>
  <si>
    <t xml:space="preserve">Status</t>
  </si>
  <si>
    <t xml:space="preserve">Maruti Suzuki</t>
  </si>
  <si>
    <t xml:space="preserve">Alto 800</t>
  </si>
  <si>
    <t xml:space="preserve">Entry HB</t>
  </si>
  <si>
    <t xml:space="preserve">Disc. May 2022; base petrol</t>
  </si>
  <si>
    <t xml:space="preserve">N/A</t>
  </si>
  <si>
    <t xml:space="preserve">Discontinued</t>
  </si>
  <si>
    <t xml:space="preserve">Alto K10 (2022)</t>
  </si>
  <si>
    <t xml:space="preserve">3rd gen relaunched Oct 2022</t>
  </si>
  <si>
    <t xml:space="preserve">Active</t>
  </si>
  <si>
    <t xml:space="preserve">S-Presso</t>
  </si>
  <si>
    <t xml:space="preserve">Launched Sep 2019</t>
  </si>
  <si>
    <t xml:space="preserve">Celerio</t>
  </si>
  <si>
    <t xml:space="preserve">Hatchback</t>
  </si>
  <si>
    <t xml:space="preserve">3rd gen Nov 2021; gap in 2021</t>
  </si>
  <si>
    <t xml:space="preserve">WagonR</t>
  </si>
  <si>
    <t xml:space="preserve">Redesigned Jan 2019</t>
  </si>
  <si>
    <t xml:space="preserve">Swift</t>
  </si>
  <si>
    <t xml:space="preserve">4th gen May 2024</t>
  </si>
  <si>
    <t xml:space="preserve">Ignis</t>
  </si>
  <si>
    <t xml:space="preserve">Launched Jan 2017; disc ~2024</t>
  </si>
  <si>
    <t xml:space="preserve">Celerio X (NRG)</t>
  </si>
  <si>
    <t xml:space="preserve">Disc. on BS-VI; cross variant</t>
  </si>
  <si>
    <t xml:space="preserve">Baleno</t>
  </si>
  <si>
    <t xml:space="preserve">Prem. HB</t>
  </si>
  <si>
    <t xml:space="preserve">2nd gen Feb 2022</t>
  </si>
  <si>
    <t xml:space="preserve">Ciaz</t>
  </si>
  <si>
    <t xml:space="preserve">Sedan</t>
  </si>
  <si>
    <t xml:space="preserve">Facelift 2018; disc ~2022</t>
  </si>
  <si>
    <t xml:space="preserve">Dzire</t>
  </si>
  <si>
    <t xml:space="preserve">Compact Sedan</t>
  </si>
  <si>
    <t xml:space="preserve">4th gen Nov 2024</t>
  </si>
  <si>
    <t xml:space="preserve">Ertiga</t>
  </si>
  <si>
    <t xml:space="preserve">MPV</t>
  </si>
  <si>
    <t xml:space="preserve">2nd gen Nov 2018</t>
  </si>
  <si>
    <t xml:space="preserve">XL6</t>
  </si>
  <si>
    <t xml:space="preserve">Prem. MPV</t>
  </si>
  <si>
    <t xml:space="preserve">Launched Aug 2019 (NEXA)</t>
  </si>
  <si>
    <t xml:space="preserve">Invicto</t>
  </si>
  <si>
    <t xml:space="preserve">Launched Jul 2023; rebadged Hycross</t>
  </si>
  <si>
    <t xml:space="preserve">Victoris</t>
  </si>
  <si>
    <t xml:space="preserve">Mid-Size SUV</t>
  </si>
  <si>
    <t xml:space="preserve">Launched Sep 2025</t>
  </si>
  <si>
    <t xml:space="preserve">S-Cross</t>
  </si>
  <si>
    <t xml:space="preserve">Compact SUV</t>
  </si>
  <si>
    <t xml:space="preserve">Disc. Oct 2022 (NEXA)</t>
  </si>
  <si>
    <t xml:space="preserve">Vitara Brezza</t>
  </si>
  <si>
    <t xml:space="preserve">Disc. Jun 2022; 1st gen</t>
  </si>
  <si>
    <t xml:space="preserve">Brezza (2022)</t>
  </si>
  <si>
    <t xml:space="preserve">2nd gen Jun 2022; strong hybrid</t>
  </si>
  <si>
    <t xml:space="preserve">Fronx</t>
  </si>
  <si>
    <t xml:space="preserve">Launched Apr 2023 (NEXA)</t>
  </si>
  <si>
    <t xml:space="preserve">Grand Vitara</t>
  </si>
  <si>
    <t xml:space="preserve">Launched Jul 2022 (NEXA)</t>
  </si>
  <si>
    <t xml:space="preserve">Jimny</t>
  </si>
  <si>
    <t xml:space="preserve">Off-Road SUV</t>
  </si>
  <si>
    <t xml:space="preserve">5-door launched Jun 2023</t>
  </si>
  <si>
    <t xml:space="preserve">e Vitara</t>
  </si>
  <si>
    <t xml:space="preserve">Electric SUV</t>
  </si>
  <si>
    <t xml:space="preserve">First Maruti EV; launched Feb 2026</t>
  </si>
  <si>
    <t xml:space="preserve">Hyundai</t>
  </si>
  <si>
    <t xml:space="preserve">Santro (2018)</t>
  </si>
  <si>
    <t xml:space="preserve">Revived Oct 2018; disc ~2022</t>
  </si>
  <si>
    <t xml:space="preserve">Grand i10</t>
  </si>
  <si>
    <t xml:space="preserve">Disc; replaced by Nios</t>
  </si>
  <si>
    <t xml:space="preserve">Grand i10 Nios</t>
  </si>
  <si>
    <t xml:space="preserve">Launched Aug 2019</t>
  </si>
  <si>
    <t xml:space="preserve">i20</t>
  </si>
  <si>
    <t xml:space="preserve">3rd gen Nov 2020</t>
  </si>
  <si>
    <t xml:space="preserve">i20 N Line</t>
  </si>
  <si>
    <t xml:space="preserve">Launched Jun 2021; disc ~2025</t>
  </si>
  <si>
    <t xml:space="preserve">Exter</t>
  </si>
  <si>
    <t xml:space="preserve">Micro SUV</t>
  </si>
  <si>
    <t xml:space="preserve">Launched Jul 2023; FL Mar 2026</t>
  </si>
  <si>
    <t xml:space="preserve">Aura</t>
  </si>
  <si>
    <t xml:space="preserve">Launched Jan 2020</t>
  </si>
  <si>
    <t xml:space="preserve">Xcent</t>
  </si>
  <si>
    <t xml:space="preserve">Disc; replaced by Aura</t>
  </si>
  <si>
    <t xml:space="preserve">Verna</t>
  </si>
  <si>
    <t xml:space="preserve">5th gen Mar 2023</t>
  </si>
  <si>
    <t xml:space="preserve">Elantra</t>
  </si>
  <si>
    <t xml:space="preserve">Disc ~2022; 6th gen</t>
  </si>
  <si>
    <t xml:space="preserve">Venue</t>
  </si>
  <si>
    <t xml:space="preserve">Launched May 2019; 2nd gen Nov 2025</t>
  </si>
  <si>
    <t xml:space="preserve">Venue N Line</t>
  </si>
  <si>
    <t xml:space="preserve">Launched 2023; disc with Venue FL</t>
  </si>
  <si>
    <t xml:space="preserve">Creta</t>
  </si>
  <si>
    <t xml:space="preserve">3rd gen Jan 2024</t>
  </si>
  <si>
    <t xml:space="preserve">Creta Electric</t>
  </si>
  <si>
    <t xml:space="preserve">Launched Jan 2025</t>
  </si>
  <si>
    <t xml:space="preserve">Creta N Line</t>
  </si>
  <si>
    <t xml:space="preserve">Launched 2024</t>
  </si>
  <si>
    <t xml:space="preserve">Alcazar</t>
  </si>
  <si>
    <t xml:space="preserve">3-Row SUV</t>
  </si>
  <si>
    <t xml:space="preserve">Launched Jun 2021</t>
  </si>
  <si>
    <t xml:space="preserve">Tucson</t>
  </si>
  <si>
    <t xml:space="preserve">Large SUV</t>
  </si>
  <si>
    <t xml:space="preserve">4th gen Sep 2022; disc Nov 2025</t>
  </si>
  <si>
    <t xml:space="preserve">Kona Electric</t>
  </si>
  <si>
    <t xml:space="preserve">Launched Jul 2019; disc ~2022</t>
  </si>
  <si>
    <t xml:space="preserve">Ioniq 5</t>
  </si>
  <si>
    <t xml:space="preserve">Launched Feb 2022</t>
  </si>
  <si>
    <t xml:space="preserve">Tata Motors</t>
  </si>
  <si>
    <t xml:space="preserve">Nano GenX</t>
  </si>
  <si>
    <t xml:space="preserve">Disc; last sale 2018</t>
  </si>
  <si>
    <t xml:space="preserve">Zest</t>
  </si>
  <si>
    <t xml:space="preserve">Disc ~2019; replaced by Tigor</t>
  </si>
  <si>
    <t xml:space="preserve">Bolt</t>
  </si>
  <si>
    <t xml:space="preserve">Disc ~2018</t>
  </si>
  <si>
    <t xml:space="preserve">Tiago</t>
  </si>
  <si>
    <t xml:space="preserve">Launched May 2016</t>
  </si>
  <si>
    <t xml:space="preserve">Tiago NRG</t>
  </si>
  <si>
    <t xml:space="preserve">Disc on BS-VI; rugged variant</t>
  </si>
  <si>
    <t xml:space="preserve">Tiago EV</t>
  </si>
  <si>
    <t xml:space="preserve">Electric HB</t>
  </si>
  <si>
    <t xml:space="preserve">Launched Sep 2022</t>
  </si>
  <si>
    <t xml:space="preserve">Altroz</t>
  </si>
  <si>
    <t xml:space="preserve">Tigor</t>
  </si>
  <si>
    <t xml:space="preserve">Launched Mar 2017</t>
  </si>
  <si>
    <t xml:space="preserve">Tigor EV</t>
  </si>
  <si>
    <t xml:space="preserve">Electric Sedan</t>
  </si>
  <si>
    <t xml:space="preserve">Disc ~2024</t>
  </si>
  <si>
    <t xml:space="preserve">Hexa</t>
  </si>
  <si>
    <t xml:space="preserve">MPV/SUV</t>
  </si>
  <si>
    <t xml:space="preserve">Disc May 2020; disc 7-str</t>
  </si>
  <si>
    <t xml:space="preserve">Punch</t>
  </si>
  <si>
    <t xml:space="preserve">Launched Oct 2021; FL Jan 2026</t>
  </si>
  <si>
    <t xml:space="preserve">Punch EV</t>
  </si>
  <si>
    <t xml:space="preserve">Launched Jan 2024</t>
  </si>
  <si>
    <t xml:space="preserve">Nexon</t>
  </si>
  <si>
    <t xml:space="preserve">2nd gen Sep 2023</t>
  </si>
  <si>
    <t xml:space="preserve">Nexon EV</t>
  </si>
  <si>
    <t xml:space="preserve">Disc; replaced by new gen</t>
  </si>
  <si>
    <t xml:space="preserve">Nexon EV (2023)</t>
  </si>
  <si>
    <t xml:space="preserve">New gen Sep 2023</t>
  </si>
  <si>
    <t xml:space="preserve">Harrier</t>
  </si>
  <si>
    <t xml:space="preserve">2nd gen Oct 2023</t>
  </si>
  <si>
    <t xml:space="preserve">Harrier EV</t>
  </si>
  <si>
    <t xml:space="preserve">Launched late 2025</t>
  </si>
  <si>
    <t xml:space="preserve">Safari</t>
  </si>
  <si>
    <t xml:space="preserve">3rd gen Feb 2021</t>
  </si>
  <si>
    <t xml:space="preserve">Curvv</t>
  </si>
  <si>
    <t xml:space="preserve">Coupe SUV</t>
  </si>
  <si>
    <t xml:space="preserve">Launched Aug 2024</t>
  </si>
  <si>
    <t xml:space="preserve">Curvv EV</t>
  </si>
  <si>
    <t xml:space="preserve">Sierra</t>
  </si>
  <si>
    <t xml:space="preserve">Relaunched Nov 2025</t>
  </si>
  <si>
    <t xml:space="preserve">Mahindra</t>
  </si>
  <si>
    <t xml:space="preserve">e2o</t>
  </si>
  <si>
    <t xml:space="preserve">Disc ~2019</t>
  </si>
  <si>
    <t xml:space="preserve">KUV100 NXT</t>
  </si>
  <si>
    <t xml:space="preserve">Disc ~2021</t>
  </si>
  <si>
    <t xml:space="preserve">Bolero</t>
  </si>
  <si>
    <t xml:space="preserve">Utility Vehicle</t>
  </si>
  <si>
    <t xml:space="preserve">Perennial bestseller</t>
  </si>
  <si>
    <t xml:space="preserve">Bolero Neo</t>
  </si>
  <si>
    <t xml:space="preserve">Rebranded NuvoSport</t>
  </si>
  <si>
    <t xml:space="preserve">TUV300</t>
  </si>
  <si>
    <t xml:space="preserve">XUV300 / 3XO</t>
  </si>
  <si>
    <t xml:space="preserve">Relaunched as 3XO Apr 2024</t>
  </si>
  <si>
    <t xml:space="preserve">Marazzo</t>
  </si>
  <si>
    <t xml:space="preserve">Launched Sep 2018; low volumes</t>
  </si>
  <si>
    <t xml:space="preserve">Scorpio (Classic)</t>
  </si>
  <si>
    <t xml:space="preserve">Classic continues alongside N</t>
  </si>
  <si>
    <t xml:space="preserve">Scorpio N</t>
  </si>
  <si>
    <t xml:space="preserve">Gen-3 launched Jun 2022</t>
  </si>
  <si>
    <t xml:space="preserve">Thar</t>
  </si>
  <si>
    <t xml:space="preserve">2nd gen Oct 2020</t>
  </si>
  <si>
    <t xml:space="preserve">Thar Roxx</t>
  </si>
  <si>
    <t xml:space="preserve">5-door launched Aug 2024</t>
  </si>
  <si>
    <t xml:space="preserve">XUV500</t>
  </si>
  <si>
    <t xml:space="preserve">Disc ~2021; replaced by XUV700</t>
  </si>
  <si>
    <t xml:space="preserve">XUV700</t>
  </si>
  <si>
    <t xml:space="preserve">Launched Oct 2021</t>
  </si>
  <si>
    <t xml:space="preserve">XUV400 EV</t>
  </si>
  <si>
    <t xml:space="preserve">Launched Jan 2023</t>
  </si>
  <si>
    <t xml:space="preserve">BE 6</t>
  </si>
  <si>
    <t xml:space="preserve">Launched Feb 2025</t>
  </si>
  <si>
    <t xml:space="preserve">XEV 9e</t>
  </si>
  <si>
    <t xml:space="preserve">Kia</t>
  </si>
  <si>
    <t xml:space="preserve">Seltos</t>
  </si>
  <si>
    <t xml:space="preserve">Sonet</t>
  </si>
  <si>
    <t xml:space="preserve">Launched Sep 2020</t>
  </si>
  <si>
    <t xml:space="preserve">Carens</t>
  </si>
  <si>
    <t xml:space="preserve">EV6</t>
  </si>
  <si>
    <t xml:space="preserve">Launched Jun 2022; CBU import</t>
  </si>
  <si>
    <t xml:space="preserve">Syros</t>
  </si>
  <si>
    <t xml:space="preserve">Launched Dec 2024</t>
  </si>
  <si>
    <t xml:space="preserve">Toyota</t>
  </si>
  <si>
    <t xml:space="preserve">Liva/Etios Liva</t>
  </si>
  <si>
    <t xml:space="preserve">Disc ~2020</t>
  </si>
  <si>
    <t xml:space="preserve">Etios</t>
  </si>
  <si>
    <t xml:space="preserve">Glanza</t>
  </si>
  <si>
    <t xml:space="preserve">Rebadged Baleno; launched 2019</t>
  </si>
  <si>
    <t xml:space="preserve">Rumion</t>
  </si>
  <si>
    <t xml:space="preserve">Rebadged Ertiga; launched 2023</t>
  </si>
  <si>
    <t xml:space="preserve">Urban Cruiser</t>
  </si>
  <si>
    <t xml:space="preserve">Disc; rebadged Brezza</t>
  </si>
  <si>
    <t xml:space="preserve">Urban Cruiser Hyryder</t>
  </si>
  <si>
    <t xml:space="preserve">Rebadged Grand Vitara</t>
  </si>
  <si>
    <t xml:space="preserve">Innova Crysta</t>
  </si>
  <si>
    <t xml:space="preserve">Still on sale alongside Hycross</t>
  </si>
  <si>
    <t xml:space="preserve">Innova Hycross</t>
  </si>
  <si>
    <t xml:space="preserve">Strong hybrid; launched Nov 2022</t>
  </si>
  <si>
    <t xml:space="preserve">Fortuner</t>
  </si>
  <si>
    <t xml:space="preserve">Full-Size SUV</t>
  </si>
  <si>
    <t xml:space="preserve">Perennial top-seller</t>
  </si>
  <si>
    <t xml:space="preserve">Fortuner Legender</t>
  </si>
  <si>
    <t xml:space="preserve">Top-spec 2021+</t>
  </si>
  <si>
    <t xml:space="preserve">Land Cruiser 300</t>
  </si>
  <si>
    <t xml:space="preserve">Flagship SUV</t>
  </si>
  <si>
    <t xml:space="preserve">CBU import; ultra premium</t>
  </si>
  <si>
    <t xml:space="preserve">Camry</t>
  </si>
  <si>
    <t xml:space="preserve">Exec. Sedan</t>
  </si>
  <si>
    <t xml:space="preserve">Hybrid only since 2019</t>
  </si>
  <si>
    <t xml:space="preserve">Vellfire</t>
  </si>
  <si>
    <t xml:space="preserve">Luxury MPV</t>
  </si>
  <si>
    <t xml:space="preserve">CBU; relaunched 2020</t>
  </si>
  <si>
    <t xml:space="preserve">Hilux</t>
  </si>
  <si>
    <t xml:space="preserve">Pickup</t>
  </si>
  <si>
    <t xml:space="preserve">Launched Jan 2022</t>
  </si>
  <si>
    <t xml:space="preserve">Honda</t>
  </si>
  <si>
    <t xml:space="preserve">Jazz</t>
  </si>
  <si>
    <t xml:space="preserve">Amaze</t>
  </si>
  <si>
    <t xml:space="preserve">3rd gen 2024</t>
  </si>
  <si>
    <t xml:space="preserve">City (4th gen)</t>
  </si>
  <si>
    <t xml:space="preserve">4th gen 2014-2020</t>
  </si>
  <si>
    <t xml:space="preserve">City (5th gen)</t>
  </si>
  <si>
    <t xml:space="preserve">5th gen launched 2020</t>
  </si>
  <si>
    <t xml:space="preserve">WR-V</t>
  </si>
  <si>
    <t xml:space="preserve">BR-V</t>
  </si>
  <si>
    <t xml:space="preserve">CR-V</t>
  </si>
  <si>
    <t xml:space="preserve">Elevate</t>
  </si>
  <si>
    <t xml:space="preserve">Launched Jul 2023</t>
  </si>
  <si>
    <t xml:space="preserve">Accord</t>
  </si>
  <si>
    <t xml:space="preserve">Disc; niche model</t>
  </si>
  <si>
    <t xml:space="preserve">MG Motor</t>
  </si>
  <si>
    <t xml:space="preserve">Hector</t>
  </si>
  <si>
    <t xml:space="preserve">Launched Jun 2019</t>
  </si>
  <si>
    <t xml:space="preserve">Hector Plus</t>
  </si>
  <si>
    <t xml:space="preserve">Launched 2020; 6/7 seater</t>
  </si>
  <si>
    <t xml:space="preserve">ZS EV</t>
  </si>
  <si>
    <t xml:space="preserve">Disc; replaced by Windsor</t>
  </si>
  <si>
    <t xml:space="preserve">Windsor EV</t>
  </si>
  <si>
    <t xml:space="preserve">Launched Sep 2024</t>
  </si>
  <si>
    <t xml:space="preserve">Astor</t>
  </si>
  <si>
    <t xml:space="preserve">Gloster</t>
  </si>
  <si>
    <t xml:space="preserve">Launched Oct 2020</t>
  </si>
  <si>
    <t xml:space="preserve">Comet EV</t>
  </si>
  <si>
    <t xml:space="preserve">Micro EV</t>
  </si>
  <si>
    <t xml:space="preserve">Launched Apr 2023; mini EV</t>
  </si>
  <si>
    <t xml:space="preserve">Cloud EV</t>
  </si>
  <si>
    <t xml:space="preserve">Launched 2025</t>
  </si>
  <si>
    <t xml:space="preserve">Renault</t>
  </si>
  <si>
    <t xml:space="preserve">Pulse</t>
  </si>
  <si>
    <t xml:space="preserve">Disc ~2017</t>
  </si>
  <si>
    <t xml:space="preserve">Scala</t>
  </si>
  <si>
    <t xml:space="preserve">Disc ~2016</t>
  </si>
  <si>
    <t xml:space="preserve">Kwid</t>
  </si>
  <si>
    <t xml:space="preserve">Launched Sep 2015</t>
  </si>
  <si>
    <t xml:space="preserve">Lodgy</t>
  </si>
  <si>
    <t xml:space="preserve">Duster</t>
  </si>
  <si>
    <t xml:space="preserve">Disc ~2022; new gen 2025</t>
  </si>
  <si>
    <t xml:space="preserve">Triber</t>
  </si>
  <si>
    <t xml:space="preserve">Kiger</t>
  </si>
  <si>
    <t xml:space="preserve">Launched Feb 2021</t>
  </si>
  <si>
    <t xml:space="preserve">Duster (2025)</t>
  </si>
  <si>
    <t xml:space="preserve">All-new 3rd gen launched 2025</t>
  </si>
  <si>
    <t xml:space="preserve">Nissan</t>
  </si>
  <si>
    <t xml:space="preserve">Micra</t>
  </si>
  <si>
    <t xml:space="preserve">Sunny</t>
  </si>
  <si>
    <t xml:space="preserve">Terrano</t>
  </si>
  <si>
    <t xml:space="preserve">Disc ~2020; rebadged Duster</t>
  </si>
  <si>
    <t xml:space="preserve">X-Trail</t>
  </si>
  <si>
    <t xml:space="preserve">Disc ~2020; CBU</t>
  </si>
  <si>
    <t xml:space="preserve">Kicks</t>
  </si>
  <si>
    <t xml:space="preserve">Disc ~2021 due to poor sales</t>
  </si>
  <si>
    <t xml:space="preserve">Magnite</t>
  </si>
  <si>
    <t xml:space="preserve">Launched Dec 2020</t>
  </si>
  <si>
    <t xml:space="preserve">Skoda</t>
  </si>
  <si>
    <t xml:space="preserve">Rapid</t>
  </si>
  <si>
    <t xml:space="preserve">Disc ~2022; replaced by Slavia</t>
  </si>
  <si>
    <t xml:space="preserve">Octavia</t>
  </si>
  <si>
    <t xml:space="preserve">4th gen Oct 2021; disc 2025</t>
  </si>
  <si>
    <t xml:space="preserve">Superb</t>
  </si>
  <si>
    <t xml:space="preserve">Prem. Sedan</t>
  </si>
  <si>
    <t xml:space="preserve">Disc ~2019; relaunched 2022</t>
  </si>
  <si>
    <t xml:space="preserve">Fabia</t>
  </si>
  <si>
    <t xml:space="preserve">Disc ~2019 in India</t>
  </si>
  <si>
    <t xml:space="preserve">Yeti</t>
  </si>
  <si>
    <t xml:space="preserve">Kodiaq</t>
  </si>
  <si>
    <t xml:space="preserve">Kushaq</t>
  </si>
  <si>
    <t xml:space="preserve">Slavia</t>
  </si>
  <si>
    <t xml:space="preserve">Launched Mar 2022; disc ~2025</t>
  </si>
  <si>
    <t xml:space="preserve">Kylaq</t>
  </si>
  <si>
    <t xml:space="preserve">Volkswagen</t>
  </si>
  <si>
    <t xml:space="preserve">Polo</t>
  </si>
  <si>
    <t xml:space="preserve">Disc Sep 2022 in India</t>
  </si>
  <si>
    <t xml:space="preserve">Ameo</t>
  </si>
  <si>
    <t xml:space="preserve">India-specific; disc ~2021</t>
  </si>
  <si>
    <t xml:space="preserve">Vento</t>
  </si>
  <si>
    <t xml:space="preserve">Disc 2022; replaced by Virtus</t>
  </si>
  <si>
    <t xml:space="preserve">Jetta</t>
  </si>
  <si>
    <t xml:space="preserve">Passat</t>
  </si>
  <si>
    <t xml:space="preserve">Tiguan</t>
  </si>
  <si>
    <t xml:space="preserve">Disc ~2021; niche</t>
  </si>
  <si>
    <t xml:space="preserve">Taigun</t>
  </si>
  <si>
    <t xml:space="preserve">Launched Sep 2021</t>
  </si>
  <si>
    <t xml:space="preserve">Virtus</t>
  </si>
  <si>
    <t xml:space="preserve">Launched Jun 2022</t>
  </si>
  <si>
    <t xml:space="preserve">Tiguan (2024)</t>
  </si>
  <si>
    <t xml:space="preserve">New gen relaunched 2024</t>
  </si>
  <si>
    <t xml:space="preserve">Jeep</t>
  </si>
  <si>
    <t xml:space="preserve">Compass</t>
  </si>
  <si>
    <t xml:space="preserve">Launched Jul 2017</t>
  </si>
  <si>
    <t xml:space="preserve">Meridian</t>
  </si>
  <si>
    <t xml:space="preserve">Launched May 2022; disc ~2025</t>
  </si>
  <si>
    <t xml:space="preserve">Wrangler</t>
  </si>
  <si>
    <t xml:space="preserve">CBU; relaunched 2021</t>
  </si>
  <si>
    <t xml:space="preserve">Grand Cherokee</t>
  </si>
  <si>
    <t xml:space="preserve">Launched 2022; CBU</t>
  </si>
  <si>
    <t xml:space="preserve">Avenger</t>
  </si>
  <si>
    <t xml:space="preserve">India launch 2024-25</t>
  </si>
  <si>
    <t xml:space="preserve">Ford*</t>
  </si>
  <si>
    <t xml:space="preserve">Figo</t>
  </si>
  <si>
    <t xml:space="preserve">Disc Sep 2021</t>
  </si>
  <si>
    <t xml:space="preserve">Aspire</t>
  </si>
  <si>
    <t xml:space="preserve">EcoSport</t>
  </si>
  <si>
    <t xml:space="preserve">Freestyle</t>
  </si>
  <si>
    <t xml:space="preserve">Launched 2018; disc Sep 2021</t>
  </si>
  <si>
    <t xml:space="preserve">Endeavour</t>
  </si>
  <si>
    <t xml:space="preserve">Mustang</t>
  </si>
  <si>
    <t xml:space="preserve">Sports Car</t>
  </si>
  <si>
    <t xml:space="preserve">CBU; disc Sep 2021</t>
  </si>
  <si>
    <t xml:space="preserve">Citroen</t>
  </si>
  <si>
    <t xml:space="preserve">C5 Aircross</t>
  </si>
  <si>
    <t xml:space="preserve">Launched 2021; CBU</t>
  </si>
  <si>
    <t xml:space="preserve">C3</t>
  </si>
  <si>
    <t xml:space="preserve">Launched Jul 2022</t>
  </si>
  <si>
    <t xml:space="preserve">eC3</t>
  </si>
  <si>
    <t xml:space="preserve">C3 Aircross</t>
  </si>
  <si>
    <t xml:space="preserve">Launched Oct 2023</t>
  </si>
  <si>
    <t xml:space="preserve">Basalt</t>
  </si>
  <si>
    <t xml:space="preserve">BMW</t>
  </si>
  <si>
    <t xml:space="preserve">1 Series</t>
  </si>
  <si>
    <t xml:space="preserve">Entry Lux. HB</t>
  </si>
  <si>
    <t xml:space="preserve">Disc ~2017 in India</t>
  </si>
  <si>
    <t xml:space="preserve">2 Series Gran Coupe</t>
  </si>
  <si>
    <t xml:space="preserve">Lux. Sedan</t>
  </si>
  <si>
    <t xml:space="preserve">Launched 2021</t>
  </si>
  <si>
    <t xml:space="preserve">3 Series</t>
  </si>
  <si>
    <t xml:space="preserve">7th gen 2019; 8th gen 2023</t>
  </si>
  <si>
    <t xml:space="preserve">5 Series</t>
  </si>
  <si>
    <t xml:space="preserve">8th gen 2024</t>
  </si>
  <si>
    <t xml:space="preserve">7 Series</t>
  </si>
  <si>
    <t xml:space="preserve">Flagship Sedan</t>
  </si>
  <si>
    <t xml:space="preserve">CKD assembled</t>
  </si>
  <si>
    <t xml:space="preserve">X1</t>
  </si>
  <si>
    <t xml:space="preserve">Entry Lux. SUV</t>
  </si>
  <si>
    <t xml:space="preserve">3rd gen 2023</t>
  </si>
  <si>
    <t xml:space="preserve">X3</t>
  </si>
  <si>
    <t xml:space="preserve">Lux. SUV</t>
  </si>
  <si>
    <t xml:space="preserve">3rd gen 2018; 4th gen 2024</t>
  </si>
  <si>
    <t xml:space="preserve">X5</t>
  </si>
  <si>
    <t xml:space="preserve">4th gen G05</t>
  </si>
  <si>
    <t xml:space="preserve">X7</t>
  </si>
  <si>
    <t xml:space="preserve">Launched 2020</t>
  </si>
  <si>
    <t xml:space="preserve">Z4</t>
  </si>
  <si>
    <t xml:space="preserve">Relaunched 2019</t>
  </si>
  <si>
    <t xml:space="preserve">M3 / M4</t>
  </si>
  <si>
    <t xml:space="preserve">Performance</t>
  </si>
  <si>
    <t xml:space="preserve">CBU performance models</t>
  </si>
  <si>
    <t xml:space="preserve">Mercedes-Benz</t>
  </si>
  <si>
    <t xml:space="preserve">A-Class Limousine</t>
  </si>
  <si>
    <t xml:space="preserve">Entry Lux. Sedan</t>
  </si>
  <si>
    <t xml:space="preserve">C-Class</t>
  </si>
  <si>
    <t xml:space="preserve">W206 gen 2022</t>
  </si>
  <si>
    <t xml:space="preserve">E-Class</t>
  </si>
  <si>
    <t xml:space="preserve">W214 new gen 2023</t>
  </si>
  <si>
    <t xml:space="preserve">S-Class</t>
  </si>
  <si>
    <t xml:space="preserve">W223 launched 2021</t>
  </si>
  <si>
    <t xml:space="preserve">GLA</t>
  </si>
  <si>
    <t xml:space="preserve">2nd gen 2021</t>
  </si>
  <si>
    <t xml:space="preserve">GLC</t>
  </si>
  <si>
    <t xml:space="preserve">X254 new gen 2023</t>
  </si>
  <si>
    <t xml:space="preserve">GLE</t>
  </si>
  <si>
    <t xml:space="preserve">W167</t>
  </si>
  <si>
    <t xml:space="preserve">GLS</t>
  </si>
  <si>
    <t xml:space="preserve">X167; flagship 7-str luxury</t>
  </si>
  <si>
    <t xml:space="preserve">EQS</t>
  </si>
  <si>
    <t xml:space="preserve">Launched 2023; CBU</t>
  </si>
  <si>
    <t xml:space="preserve">AMG C 63</t>
  </si>
  <si>
    <t xml:space="preserve">CBU performance</t>
  </si>
  <si>
    <t xml:space="preserve">Audi</t>
  </si>
  <si>
    <t xml:space="preserve">A3</t>
  </si>
  <si>
    <t xml:space="preserve">A4</t>
  </si>
  <si>
    <t xml:space="preserve">B9/B9.5</t>
  </si>
  <si>
    <t xml:space="preserve">A6</t>
  </si>
  <si>
    <t xml:space="preserve">C8 gen</t>
  </si>
  <si>
    <t xml:space="preserve">A8 L</t>
  </si>
  <si>
    <t xml:space="preserve">D5 gen</t>
  </si>
  <si>
    <t xml:space="preserve">Q3</t>
  </si>
  <si>
    <t xml:space="preserve">F3 gen 2021</t>
  </si>
  <si>
    <t xml:space="preserve">Q5</t>
  </si>
  <si>
    <t xml:space="preserve">FY gen</t>
  </si>
  <si>
    <t xml:space="preserve">Q7</t>
  </si>
  <si>
    <t xml:space="preserve">Large Lux. SUV</t>
  </si>
  <si>
    <t xml:space="preserve">4M gen</t>
  </si>
  <si>
    <t xml:space="preserve">Q8</t>
  </si>
  <si>
    <t xml:space="preserve">e-tron / Q8 e-tron</t>
  </si>
  <si>
    <t xml:space="preserve">RS Q8</t>
  </si>
  <si>
    <t xml:space="preserve">Performance SUV</t>
  </si>
  <si>
    <t xml:space="preserve">CBU</t>
  </si>
  <si>
    <t xml:space="preserve">Volvo</t>
  </si>
  <si>
    <t xml:space="preserve">V40</t>
  </si>
  <si>
    <t xml:space="preserve">S60</t>
  </si>
  <si>
    <t xml:space="preserve">Disc; 3rd gen briefly</t>
  </si>
  <si>
    <t xml:space="preserve">S90</t>
  </si>
  <si>
    <t xml:space="preserve">Disc; niche</t>
  </si>
  <si>
    <t xml:space="preserve">XC40</t>
  </si>
  <si>
    <t xml:space="preserve">Launched 2018</t>
  </si>
  <si>
    <t xml:space="preserve">XC40 Recharge</t>
  </si>
  <si>
    <t xml:space="preserve">EV version</t>
  </si>
  <si>
    <t xml:space="preserve">XC60</t>
  </si>
  <si>
    <t xml:space="preserve">2nd gen 2017</t>
  </si>
  <si>
    <t xml:space="preserve">XC90</t>
  </si>
  <si>
    <t xml:space="preserve">2nd gen</t>
  </si>
  <si>
    <t xml:space="preserve">Land Rover</t>
  </si>
  <si>
    <t xml:space="preserve">Freelander 2</t>
  </si>
  <si>
    <t xml:space="preserve">Discovery Sport</t>
  </si>
  <si>
    <t xml:space="preserve">Launched 2015</t>
  </si>
  <si>
    <t xml:space="preserve">Range Rover Evoque</t>
  </si>
  <si>
    <t xml:space="preserve">2nd gen 2019</t>
  </si>
  <si>
    <t xml:space="preserve">Discovery 4 / 5</t>
  </si>
  <si>
    <t xml:space="preserve">Range Rover Velar</t>
  </si>
  <si>
    <t xml:space="preserve">Range Rover Sport</t>
  </si>
  <si>
    <t xml:space="preserve">3rd gen L461 2022</t>
  </si>
  <si>
    <t xml:space="preserve">Range Rover</t>
  </si>
  <si>
    <t xml:space="preserve">5th gen L460 2022</t>
  </si>
  <si>
    <t xml:space="preserve">Defender</t>
  </si>
  <si>
    <t xml:space="preserve">Lux. Off-Road</t>
  </si>
  <si>
    <t xml:space="preserve">Revived 2020</t>
  </si>
  <si>
    <t xml:space="preserve">Jaguar</t>
  </si>
  <si>
    <t xml:space="preserve">XE</t>
  </si>
  <si>
    <t xml:space="preserve">XF</t>
  </si>
  <si>
    <t xml:space="preserve">F-Pace</t>
  </si>
  <si>
    <t xml:space="preserve">Launched 2017</t>
  </si>
  <si>
    <t xml:space="preserve">F-Type</t>
  </si>
  <si>
    <t xml:space="preserve">Porsche</t>
  </si>
  <si>
    <t xml:space="preserve">Cayenne</t>
  </si>
  <si>
    <t xml:space="preserve">3rd gen 2018</t>
  </si>
  <si>
    <t xml:space="preserve">Macan</t>
  </si>
  <si>
    <t xml:space="preserve">Compact Lux. SUV</t>
  </si>
  <si>
    <t xml:space="preserve">911</t>
  </si>
  <si>
    <t xml:space="preserve">992 gen 2019</t>
  </si>
  <si>
    <t xml:space="preserve">Taycan</t>
  </si>
  <si>
    <t xml:space="preserve">Electric Car</t>
  </si>
  <si>
    <t xml:space="preserve">Lamborghini</t>
  </si>
  <si>
    <t xml:space="preserve">Urus</t>
  </si>
  <si>
    <t xml:space="preserve">Super SUV</t>
  </si>
  <si>
    <t xml:space="preserve">India launch 2019; CBU</t>
  </si>
  <si>
    <t xml:space="preserve">Huracan</t>
  </si>
  <si>
    <t xml:space="preserve">Supercar</t>
  </si>
  <si>
    <t xml:space="preserve">Disc; replaced by Temerario</t>
  </si>
  <si>
    <t xml:space="preserve">Lexus</t>
  </si>
  <si>
    <t xml:space="preserve">ES 300h</t>
  </si>
  <si>
    <t xml:space="preserve">NX</t>
  </si>
  <si>
    <t xml:space="preserve">2nd gen 2022</t>
  </si>
  <si>
    <t xml:space="preserve">RX</t>
  </si>
  <si>
    <t xml:space="preserve">5th gen 2023</t>
  </si>
  <si>
    <t xml:space="preserve">LX 600</t>
  </si>
  <si>
    <t xml:space="preserve">6th gen 2022</t>
  </si>
  <si>
    <t xml:space="preserve">Isuzu</t>
  </si>
  <si>
    <t xml:space="preserve">D-Max</t>
  </si>
  <si>
    <t xml:space="preserve">Launched 2016</t>
  </si>
  <si>
    <t xml:space="preserve">mu-X</t>
  </si>
  <si>
    <t xml:space="preserve">Relaunched 2022</t>
  </si>
  <si>
    <t xml:space="preserve">Brand-wise Average Price (₹ Lakh) | Computed from Model Data | 2015–2025</t>
  </si>
  <si>
    <t xml:space="preserve">Tier</t>
  </si>
  <si>
    <t xml:space="preserve">CAGR</t>
  </si>
  <si>
    <t xml:space="preserve">% Change</t>
  </si>
  <si>
    <t xml:space="preserve">Mass Market</t>
  </si>
  <si>
    <t xml:space="preserve">Budget/Mass</t>
  </si>
  <si>
    <t xml:space="preserve">Mass Premium</t>
  </si>
  <si>
    <t xml:space="preserve">Luxury</t>
  </si>
  <si>
    <t xml:space="preserve">Ultra Luxury</t>
  </si>
  <si>
    <t xml:space="preserve">Super Luxury</t>
  </si>
  <si>
    <t xml:space="preserve">Commercial/Utility</t>
  </si>
  <si>
    <t xml:space="preserve">Segment-wise Average Price (₹ Lakh) | 2015–2025</t>
  </si>
  <si>
    <t xml:space="preserve">Dataset: 224 models across 25 brands, 41 segments, 11 years (2015-2025)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</si>
</sst>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3C5E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i val="true"/>
      <sz val="9"/>
      <color rgb="FFBBBBBB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BBBBBB"/>
      <name val="Arial"/>
      <family val="0"/>
      <charset val="1"/>
    </font>
    <font>
      <b val="true"/>
      <sz val="12"/>
      <color rgb="FF1A3C5E"/>
      <name val="Arial"/>
      <family val="0"/>
      <charset val="1"/>
    </font>
  </fonts>
  <fills count="40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2E75B6"/>
        <bgColor rgb="FF595959"/>
      </patternFill>
    </fill>
    <fill>
      <patternFill patternType="solid">
        <fgColor rgb="FFD5EAF5"/>
        <bgColor rgb="FFD5E8FA"/>
      </patternFill>
    </fill>
    <fill>
      <patternFill patternType="solid">
        <fgColor rgb="FFF0F0F0"/>
        <bgColor rgb="FFE8F5E9"/>
      </patternFill>
    </fill>
    <fill>
      <patternFill patternType="solid">
        <fgColor rgb="FFD5E8D4"/>
        <bgColor rgb="FFD5F0D5"/>
      </patternFill>
    </fill>
    <fill>
      <patternFill patternType="solid">
        <fgColor rgb="FFFFE6CC"/>
        <bgColor rgb="FFFFE8D5"/>
      </patternFill>
    </fill>
    <fill>
      <patternFill patternType="solid">
        <fgColor rgb="FFFFD5D5"/>
        <bgColor rgb="FFF5D5D5"/>
      </patternFill>
    </fill>
    <fill>
      <patternFill patternType="solid">
        <fgColor rgb="FFFFFFFF"/>
        <bgColor rgb="FFFFFDE7"/>
      </patternFill>
    </fill>
    <fill>
      <patternFill patternType="solid">
        <fgColor rgb="FFD5F0D5"/>
        <bgColor rgb="FFD5E8D4"/>
      </patternFill>
    </fill>
    <fill>
      <patternFill patternType="solid">
        <fgColor rgb="FFD5F0E8"/>
        <bgColor rgb="FFD5F0D5"/>
      </patternFill>
    </fill>
    <fill>
      <patternFill patternType="solid">
        <fgColor rgb="FFFAE3D5"/>
        <bgColor rgb="FFF5E5D5"/>
      </patternFill>
    </fill>
    <fill>
      <patternFill patternType="solid">
        <fgColor rgb="FFF5D5D5"/>
        <bgColor rgb="FFFFD5D5"/>
      </patternFill>
    </fill>
    <fill>
      <patternFill patternType="solid">
        <fgColor rgb="FFD5E8FA"/>
        <bgColor rgb="FFD5EAF5"/>
      </patternFill>
    </fill>
    <fill>
      <patternFill patternType="solid">
        <fgColor rgb="FFE8FAD5"/>
        <bgColor rgb="FFE8F5E9"/>
      </patternFill>
    </fill>
    <fill>
      <patternFill patternType="solid">
        <fgColor rgb="FFFAF0D5"/>
        <bgColor rgb="FFFFF0D5"/>
      </patternFill>
    </fill>
    <fill>
      <patternFill patternType="solid">
        <fgColor rgb="FFEDD5FA"/>
        <bgColor rgb="FFE8D5FF"/>
      </patternFill>
    </fill>
    <fill>
      <patternFill patternType="solid">
        <fgColor rgb="FFD5FAEC"/>
        <bgColor rgb="FFD5FFE8"/>
      </patternFill>
    </fill>
    <fill>
      <patternFill patternType="solid">
        <fgColor rgb="FFFAFAD5"/>
        <bgColor rgb="FFFFF9C4"/>
      </patternFill>
    </fill>
    <fill>
      <patternFill patternType="solid">
        <fgColor rgb="FFD5D5FA"/>
        <bgColor rgb="FFE8D5FF"/>
      </patternFill>
    </fill>
    <fill>
      <patternFill patternType="solid">
        <fgColor rgb="FFF5E5D5"/>
        <bgColor rgb="FFFAE3D5"/>
      </patternFill>
    </fill>
    <fill>
      <patternFill patternType="solid">
        <fgColor rgb="FFFAE8D5"/>
        <bgColor rgb="FFFFE8D5"/>
      </patternFill>
    </fill>
    <fill>
      <patternFill patternType="solid">
        <fgColor rgb="FFDCDCDC"/>
        <bgColor rgb="FFD6E4F0"/>
      </patternFill>
    </fill>
    <fill>
      <patternFill patternType="solid">
        <fgColor rgb="FFF5D5EA"/>
        <bgColor rgb="FFFFD5F5"/>
      </patternFill>
    </fill>
    <fill>
      <patternFill patternType="solid">
        <fgColor rgb="FFFFF0D5"/>
        <bgColor rgb="FFFAF0D5"/>
      </patternFill>
    </fill>
    <fill>
      <patternFill patternType="solid">
        <fgColor rgb="FFD5F5FF"/>
        <bgColor rgb="FFD5FAEC"/>
      </patternFill>
    </fill>
    <fill>
      <patternFill patternType="solid">
        <fgColor rgb="FFFFECD5"/>
        <bgColor rgb="FFFFF0D5"/>
      </patternFill>
    </fill>
    <fill>
      <patternFill patternType="solid">
        <fgColor rgb="FFD5FFE8"/>
        <bgColor rgb="FFD5FAEC"/>
      </patternFill>
    </fill>
    <fill>
      <patternFill patternType="solid">
        <fgColor rgb="FFFFE8D5"/>
        <bgColor rgb="FFFAE8D5"/>
      </patternFill>
    </fill>
    <fill>
      <patternFill patternType="solid">
        <fgColor rgb="FFE8D5FF"/>
        <bgColor rgb="FFEDD5FA"/>
      </patternFill>
    </fill>
    <fill>
      <patternFill patternType="solid">
        <fgColor rgb="FFF3E5F5"/>
        <bgColor rgb="FFE8E8E8"/>
      </patternFill>
    </fill>
    <fill>
      <patternFill patternType="solid">
        <fgColor rgb="FFFFFDE7"/>
        <bgColor rgb="FFFAFAD5"/>
      </patternFill>
    </fill>
    <fill>
      <patternFill patternType="solid">
        <fgColor rgb="FFE8F5E9"/>
        <bgColor rgb="FFF0F0F0"/>
      </patternFill>
    </fill>
    <fill>
      <patternFill patternType="solid">
        <fgColor rgb="FFFFF9C4"/>
        <bgColor rgb="FFFAFAD5"/>
      </patternFill>
    </fill>
    <fill>
      <patternFill patternType="solid">
        <fgColor rgb="FFE2EFDA"/>
        <bgColor rgb="FFD5F0D5"/>
      </patternFill>
    </fill>
    <fill>
      <patternFill patternType="solid">
        <fgColor rgb="FFF5D5FF"/>
        <bgColor rgb="FFEDD5FA"/>
      </patternFill>
    </fill>
    <fill>
      <patternFill patternType="solid">
        <fgColor rgb="FFFFD5F5"/>
        <bgColor rgb="FFF5D5FF"/>
      </patternFill>
    </fill>
    <fill>
      <patternFill patternType="solid">
        <fgColor rgb="FFE8E8E8"/>
        <bgColor rgb="FFF3E5F5"/>
      </patternFill>
    </fill>
    <fill>
      <patternFill patternType="solid">
        <fgColor rgb="FFD6E4F0"/>
        <bgColor rgb="FFD5E8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3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E8FAD5"/>
      <rgbColor rgb="FF0000FF"/>
      <rgbColor rgb="FFFFE6CC"/>
      <rgbColor rgb="FFFF00FF"/>
      <rgbColor rgb="FFD5F5FF"/>
      <rgbColor rgb="FF800000"/>
      <rgbColor rgb="FFFFECD5"/>
      <rgbColor rgb="FF000080"/>
      <rgbColor rgb="FFF5D5FF"/>
      <rgbColor rgb="FF800080"/>
      <rgbColor rgb="FFE8F5E9"/>
      <rgbColor rgb="FFBBBBBB"/>
      <rgbColor rgb="FFEDD5FA"/>
      <rgbColor rgb="FFDCDCDC"/>
      <rgbColor rgb="FFF3E5F5"/>
      <rgbColor rgb="FFFFF9C4"/>
      <rgbColor rgb="FFD5FAEC"/>
      <rgbColor rgb="FF660066"/>
      <rgbColor rgb="FFF5D5EA"/>
      <rgbColor rgb="FFFAF0D5"/>
      <rgbColor rgb="FFD5D5FA"/>
      <rgbColor rgb="FF000080"/>
      <rgbColor rgb="FFFF00FF"/>
      <rgbColor rgb="FFFFF0D5"/>
      <rgbColor rgb="FFD5F0E8"/>
      <rgbColor rgb="FF800080"/>
      <rgbColor rgb="FF800000"/>
      <rgbColor rgb="FFF0F0F0"/>
      <rgbColor rgb="FF0000FF"/>
      <rgbColor rgb="FFE8E8E8"/>
      <rgbColor rgb="FFD5FFE8"/>
      <rgbColor rgb="FFD5F0D5"/>
      <rgbColor rgb="FFFAFAD5"/>
      <rgbColor rgb="FFD6E4F0"/>
      <rgbColor rgb="FFF5D5D5"/>
      <rgbColor rgb="FFE8D5FF"/>
      <rgbColor rgb="FFFFD5D5"/>
      <rgbColor rgb="FF2E75B6"/>
      <rgbColor rgb="FFD5E8FA"/>
      <rgbColor rgb="FFE2EFDA"/>
      <rgbColor rgb="FFFAE3D5"/>
      <rgbColor rgb="FFF5E5D5"/>
      <rgbColor rgb="FFFFD5F5"/>
      <rgbColor rgb="FF595959"/>
      <rgbColor rgb="FFD5E8D4"/>
      <rgbColor rgb="FF1A3C5E"/>
      <rgbColor rgb="FFD5EAF5"/>
      <rgbColor rgb="FF003300"/>
      <rgbColor rgb="FF375623"/>
      <rgbColor rgb="FFFFE8D5"/>
      <rgbColor rgb="FFFAE8D5"/>
      <rgbColor rgb="FFFFFDE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E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15" min="5" style="0" width="8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13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customFormat="false" ht="15" hidden="false" customHeight="false" outlineLevel="0" collapsed="false">
      <c r="A6" s="5" t="s">
        <v>20</v>
      </c>
      <c r="B6" s="6" t="s">
        <v>21</v>
      </c>
      <c r="C6" s="7" t="s">
        <v>22</v>
      </c>
      <c r="D6" s="6" t="s">
        <v>23</v>
      </c>
      <c r="E6" s="8" t="n">
        <v>2.54</v>
      </c>
      <c r="F6" s="8" t="n">
        <v>2.57</v>
      </c>
      <c r="G6" s="8" t="n">
        <v>2.68</v>
      </c>
      <c r="H6" s="8" t="n">
        <v>2.73</v>
      </c>
      <c r="I6" s="8" t="n">
        <v>2.82</v>
      </c>
      <c r="J6" s="8" t="n">
        <v>2.94</v>
      </c>
      <c r="K6" s="8" t="n">
        <v>2.94</v>
      </c>
      <c r="L6" s="9" t="s">
        <v>24</v>
      </c>
      <c r="M6" s="9" t="s">
        <v>24</v>
      </c>
      <c r="N6" s="9" t="s">
        <v>24</v>
      </c>
      <c r="O6" s="9" t="s">
        <v>24</v>
      </c>
      <c r="P6" s="10" t="n">
        <f aca="false">(K6/E6)^(1/6)-1</f>
        <v>0.0246737303383351</v>
      </c>
      <c r="Q6" s="11" t="n">
        <f aca="false">(K6-E6)/E6</f>
        <v>0.15748031496063</v>
      </c>
      <c r="R6" s="12" t="s">
        <v>25</v>
      </c>
    </row>
    <row r="7" customFormat="false" ht="15" hidden="false" customHeight="false" outlineLevel="0" collapsed="false">
      <c r="A7" s="13" t="s">
        <v>20</v>
      </c>
      <c r="B7" s="14" t="s">
        <v>26</v>
      </c>
      <c r="C7" s="15" t="s">
        <v>22</v>
      </c>
      <c r="D7" s="14" t="s">
        <v>27</v>
      </c>
      <c r="E7" s="9" t="s">
        <v>24</v>
      </c>
      <c r="F7" s="9" t="s">
        <v>24</v>
      </c>
      <c r="G7" s="9" t="s">
        <v>24</v>
      </c>
      <c r="H7" s="9" t="s">
        <v>24</v>
      </c>
      <c r="I7" s="9" t="s">
        <v>24</v>
      </c>
      <c r="J7" s="9" t="s">
        <v>24</v>
      </c>
      <c r="K7" s="9" t="s">
        <v>24</v>
      </c>
      <c r="L7" s="16" t="n">
        <v>3.99</v>
      </c>
      <c r="M7" s="16" t="n">
        <v>3.99</v>
      </c>
      <c r="N7" s="16" t="n">
        <v>3.99</v>
      </c>
      <c r="O7" s="16" t="n">
        <v>3.7</v>
      </c>
      <c r="P7" s="10" t="n">
        <f aca="false">(O7/L7)^(1/3)-1</f>
        <v>-0.0248391075984865</v>
      </c>
      <c r="Q7" s="11" t="n">
        <f aca="false">(O7-L7)/L7</f>
        <v>-0.0726817042606516</v>
      </c>
      <c r="R7" s="17" t="s">
        <v>28</v>
      </c>
    </row>
    <row r="8" customFormat="false" ht="15" hidden="false" customHeight="false" outlineLevel="0" collapsed="false">
      <c r="A8" s="5" t="s">
        <v>20</v>
      </c>
      <c r="B8" s="6" t="s">
        <v>29</v>
      </c>
      <c r="C8" s="7" t="s">
        <v>22</v>
      </c>
      <c r="D8" s="6" t="s">
        <v>30</v>
      </c>
      <c r="E8" s="9" t="s">
        <v>24</v>
      </c>
      <c r="F8" s="9" t="s">
        <v>24</v>
      </c>
      <c r="G8" s="9" t="s">
        <v>24</v>
      </c>
      <c r="H8" s="9" t="s">
        <v>24</v>
      </c>
      <c r="I8" s="8" t="n">
        <v>3.69</v>
      </c>
      <c r="J8" s="8" t="n">
        <v>3.69</v>
      </c>
      <c r="K8" s="8" t="n">
        <v>3.82</v>
      </c>
      <c r="L8" s="8" t="n">
        <v>4.25</v>
      </c>
      <c r="M8" s="8" t="n">
        <v>4.25</v>
      </c>
      <c r="N8" s="8" t="n">
        <v>4.26</v>
      </c>
      <c r="O8" s="8" t="n">
        <v>3.5</v>
      </c>
      <c r="P8" s="10" t="n">
        <f aca="false">(O8/I8)^(1/6)-1</f>
        <v>-0.00877188215708602</v>
      </c>
      <c r="Q8" s="11" t="n">
        <f aca="false">(O8-I8)/I8</f>
        <v>-0.051490514905149</v>
      </c>
      <c r="R8" s="17" t="s">
        <v>28</v>
      </c>
    </row>
    <row r="9" customFormat="false" ht="15" hidden="false" customHeight="false" outlineLevel="0" collapsed="false">
      <c r="A9" s="13" t="s">
        <v>20</v>
      </c>
      <c r="B9" s="14" t="s">
        <v>31</v>
      </c>
      <c r="C9" s="15" t="s">
        <v>32</v>
      </c>
      <c r="D9" s="14" t="s">
        <v>33</v>
      </c>
      <c r="E9" s="16" t="n">
        <v>3.9</v>
      </c>
      <c r="F9" s="16" t="n">
        <v>3.97</v>
      </c>
      <c r="G9" s="16" t="n">
        <v>4.26</v>
      </c>
      <c r="H9" s="16" t="n">
        <v>4.26</v>
      </c>
      <c r="I9" s="16" t="n">
        <v>4.26</v>
      </c>
      <c r="J9" s="16" t="n">
        <v>4.29</v>
      </c>
      <c r="K9" s="9" t="s">
        <v>24</v>
      </c>
      <c r="L9" s="16" t="n">
        <v>5.25</v>
      </c>
      <c r="M9" s="16" t="n">
        <v>5.25</v>
      </c>
      <c r="N9" s="16" t="n">
        <v>5.25</v>
      </c>
      <c r="O9" s="16" t="n">
        <v>4.7</v>
      </c>
      <c r="P9" s="10" t="n">
        <f aca="false">(O9/E9)^(1/10)-1</f>
        <v>0.0188337548650226</v>
      </c>
      <c r="Q9" s="11" t="n">
        <f aca="false">(O9-E9)/E9</f>
        <v>0.205128205128205</v>
      </c>
      <c r="R9" s="17" t="s">
        <v>28</v>
      </c>
    </row>
    <row r="10" customFormat="false" ht="15" hidden="false" customHeight="false" outlineLevel="0" collapsed="false">
      <c r="A10" s="5" t="s">
        <v>20</v>
      </c>
      <c r="B10" s="6" t="s">
        <v>34</v>
      </c>
      <c r="C10" s="7" t="s">
        <v>32</v>
      </c>
      <c r="D10" s="6" t="s">
        <v>35</v>
      </c>
      <c r="E10" s="8" t="n">
        <v>3.61</v>
      </c>
      <c r="F10" s="8" t="n">
        <v>3.82</v>
      </c>
      <c r="G10" s="8" t="n">
        <v>3.95</v>
      </c>
      <c r="H10" s="8" t="n">
        <v>4.1</v>
      </c>
      <c r="I10" s="8" t="n">
        <v>4.49</v>
      </c>
      <c r="J10" s="8" t="n">
        <v>4.49</v>
      </c>
      <c r="K10" s="8" t="n">
        <v>4.62</v>
      </c>
      <c r="L10" s="8" t="n">
        <v>5.47</v>
      </c>
      <c r="M10" s="8" t="n">
        <v>5.47</v>
      </c>
      <c r="N10" s="8" t="n">
        <v>5.47</v>
      </c>
      <c r="O10" s="8" t="n">
        <v>4.99</v>
      </c>
      <c r="P10" s="10" t="n">
        <f aca="false">(O10/E10)^(1/10)-1</f>
        <v>0.0329025137835775</v>
      </c>
      <c r="Q10" s="11" t="n">
        <f aca="false">(O10-E10)/E10</f>
        <v>0.382271468144044</v>
      </c>
      <c r="R10" s="17" t="s">
        <v>28</v>
      </c>
    </row>
    <row r="11" customFormat="false" ht="15" hidden="false" customHeight="false" outlineLevel="0" collapsed="false">
      <c r="A11" s="13" t="s">
        <v>20</v>
      </c>
      <c r="B11" s="14" t="s">
        <v>36</v>
      </c>
      <c r="C11" s="15" t="s">
        <v>32</v>
      </c>
      <c r="D11" s="14" t="s">
        <v>37</v>
      </c>
      <c r="E11" s="16" t="n">
        <v>4.99</v>
      </c>
      <c r="F11" s="16" t="n">
        <v>5.1</v>
      </c>
      <c r="G11" s="16" t="n">
        <v>5.19</v>
      </c>
      <c r="H11" s="16" t="n">
        <v>5.19</v>
      </c>
      <c r="I11" s="16" t="n">
        <v>5.19</v>
      </c>
      <c r="J11" s="16" t="n">
        <v>5.79</v>
      </c>
      <c r="K11" s="16" t="n">
        <v>5.79</v>
      </c>
      <c r="L11" s="16" t="n">
        <v>5.99</v>
      </c>
      <c r="M11" s="16" t="n">
        <v>5.99</v>
      </c>
      <c r="N11" s="16" t="n">
        <v>5.99</v>
      </c>
      <c r="O11" s="16" t="n">
        <v>5.79</v>
      </c>
      <c r="P11" s="10" t="n">
        <f aca="false">(O11/E11)^(1/10)-1</f>
        <v>0.0149807412564342</v>
      </c>
      <c r="Q11" s="11" t="n">
        <f aca="false">(O11-E11)/E11</f>
        <v>0.160320641282565</v>
      </c>
      <c r="R11" s="17" t="s">
        <v>28</v>
      </c>
    </row>
    <row r="12" customFormat="false" ht="15" hidden="false" customHeight="false" outlineLevel="0" collapsed="false">
      <c r="A12" s="5" t="s">
        <v>20</v>
      </c>
      <c r="B12" s="6" t="s">
        <v>38</v>
      </c>
      <c r="C12" s="7" t="s">
        <v>32</v>
      </c>
      <c r="D12" s="6" t="s">
        <v>39</v>
      </c>
      <c r="E12" s="9" t="s">
        <v>24</v>
      </c>
      <c r="F12" s="9" t="s">
        <v>24</v>
      </c>
      <c r="G12" s="8" t="n">
        <v>4.89</v>
      </c>
      <c r="H12" s="8" t="n">
        <v>4.89</v>
      </c>
      <c r="I12" s="8" t="n">
        <v>4.89</v>
      </c>
      <c r="J12" s="8" t="n">
        <v>5.17</v>
      </c>
      <c r="K12" s="8" t="n">
        <v>5.35</v>
      </c>
      <c r="L12" s="8" t="n">
        <v>5.84</v>
      </c>
      <c r="M12" s="8" t="n">
        <v>5.84</v>
      </c>
      <c r="N12" s="9" t="s">
        <v>24</v>
      </c>
      <c r="O12" s="9" t="s">
        <v>24</v>
      </c>
      <c r="P12" s="10" t="n">
        <f aca="false">(M12/G12)^(1/6)-1</f>
        <v>0.0300318755434199</v>
      </c>
      <c r="Q12" s="11" t="n">
        <f aca="false">(M12-G12)/G12</f>
        <v>0.194274028629857</v>
      </c>
      <c r="R12" s="12" t="s">
        <v>25</v>
      </c>
    </row>
    <row r="13" customFormat="false" ht="15" hidden="false" customHeight="false" outlineLevel="0" collapsed="false">
      <c r="A13" s="13" t="s">
        <v>20</v>
      </c>
      <c r="B13" s="14" t="s">
        <v>40</v>
      </c>
      <c r="C13" s="15" t="s">
        <v>32</v>
      </c>
      <c r="D13" s="14" t="s">
        <v>41</v>
      </c>
      <c r="E13" s="9" t="s">
        <v>24</v>
      </c>
      <c r="F13" s="9" t="s">
        <v>24</v>
      </c>
      <c r="G13" s="9" t="s">
        <v>24</v>
      </c>
      <c r="H13" s="16" t="n">
        <v>4.66</v>
      </c>
      <c r="I13" s="16" t="n">
        <v>4.66</v>
      </c>
      <c r="J13" s="16" t="n">
        <v>4.73</v>
      </c>
      <c r="K13" s="9" t="s">
        <v>24</v>
      </c>
      <c r="L13" s="9" t="s">
        <v>24</v>
      </c>
      <c r="M13" s="9" t="s">
        <v>24</v>
      </c>
      <c r="N13" s="9" t="s">
        <v>24</v>
      </c>
      <c r="O13" s="9" t="s">
        <v>24</v>
      </c>
      <c r="P13" s="10" t="n">
        <f aca="false">(J13/H13)^(1/2)-1</f>
        <v>0.0074827339599759</v>
      </c>
      <c r="Q13" s="11" t="n">
        <f aca="false">(J13-H13)/H13</f>
        <v>0.0150214592274679</v>
      </c>
      <c r="R13" s="12" t="s">
        <v>25</v>
      </c>
    </row>
    <row r="14" customFormat="false" ht="15" hidden="false" customHeight="false" outlineLevel="0" collapsed="false">
      <c r="A14" s="5" t="s">
        <v>20</v>
      </c>
      <c r="B14" s="6" t="s">
        <v>42</v>
      </c>
      <c r="C14" s="7" t="s">
        <v>43</v>
      </c>
      <c r="D14" s="6" t="s">
        <v>44</v>
      </c>
      <c r="E14" s="8" t="n">
        <v>5.45</v>
      </c>
      <c r="F14" s="8" t="n">
        <v>5.45</v>
      </c>
      <c r="G14" s="8" t="n">
        <v>5.6</v>
      </c>
      <c r="H14" s="8" t="n">
        <v>5.64</v>
      </c>
      <c r="I14" s="8" t="n">
        <v>5.75</v>
      </c>
      <c r="J14" s="8" t="n">
        <v>5.9</v>
      </c>
      <c r="K14" s="8" t="n">
        <v>5.99</v>
      </c>
      <c r="L14" s="8" t="n">
        <v>6.35</v>
      </c>
      <c r="M14" s="8" t="n">
        <v>6.61</v>
      </c>
      <c r="N14" s="8" t="n">
        <v>6.61</v>
      </c>
      <c r="O14" s="8" t="n">
        <v>5.99</v>
      </c>
      <c r="P14" s="10" t="n">
        <f aca="false">(O14/E14)^(1/10)-1</f>
        <v>0.00949234960841183</v>
      </c>
      <c r="Q14" s="11" t="n">
        <f aca="false">(O14-E14)/E14</f>
        <v>0.0990825688073395</v>
      </c>
      <c r="R14" s="17" t="s">
        <v>28</v>
      </c>
    </row>
    <row r="15" customFormat="false" ht="15" hidden="false" customHeight="false" outlineLevel="0" collapsed="false">
      <c r="A15" s="13" t="s">
        <v>20</v>
      </c>
      <c r="B15" s="14" t="s">
        <v>45</v>
      </c>
      <c r="C15" s="15" t="s">
        <v>46</v>
      </c>
      <c r="D15" s="14" t="s">
        <v>47</v>
      </c>
      <c r="E15" s="16" t="n">
        <v>7.01</v>
      </c>
      <c r="F15" s="16" t="n">
        <v>7.1</v>
      </c>
      <c r="G15" s="16" t="n">
        <v>7.25</v>
      </c>
      <c r="H15" s="16" t="n">
        <v>7.38</v>
      </c>
      <c r="I15" s="16" t="n">
        <v>8.19</v>
      </c>
      <c r="J15" s="16" t="n">
        <v>8.35</v>
      </c>
      <c r="K15" s="16" t="n">
        <v>8.35</v>
      </c>
      <c r="L15" s="9" t="s">
        <v>24</v>
      </c>
      <c r="M15" s="9" t="s">
        <v>24</v>
      </c>
      <c r="N15" s="9" t="s">
        <v>24</v>
      </c>
      <c r="O15" s="9" t="s">
        <v>24</v>
      </c>
      <c r="P15" s="10" t="n">
        <f aca="false">(K15/E15)^(1/6)-1</f>
        <v>0.0295831102399509</v>
      </c>
      <c r="Q15" s="11" t="n">
        <f aca="false">(K15-E15)/E15</f>
        <v>0.191155492154066</v>
      </c>
      <c r="R15" s="12" t="s">
        <v>25</v>
      </c>
    </row>
    <row r="16" customFormat="false" ht="15" hidden="false" customHeight="false" outlineLevel="0" collapsed="false">
      <c r="A16" s="5" t="s">
        <v>20</v>
      </c>
      <c r="B16" s="6" t="s">
        <v>48</v>
      </c>
      <c r="C16" s="7" t="s">
        <v>49</v>
      </c>
      <c r="D16" s="6" t="s">
        <v>50</v>
      </c>
      <c r="E16" s="8" t="n">
        <v>5.1</v>
      </c>
      <c r="F16" s="8" t="n">
        <v>5.3</v>
      </c>
      <c r="G16" s="8" t="n">
        <v>5.45</v>
      </c>
      <c r="H16" s="8" t="n">
        <v>5.56</v>
      </c>
      <c r="I16" s="8" t="n">
        <v>5.64</v>
      </c>
      <c r="J16" s="8" t="n">
        <v>5.91</v>
      </c>
      <c r="K16" s="8" t="n">
        <v>5.91</v>
      </c>
      <c r="L16" s="8" t="n">
        <v>6.24</v>
      </c>
      <c r="M16" s="8" t="n">
        <v>6.24</v>
      </c>
      <c r="N16" s="8" t="n">
        <v>6.84</v>
      </c>
      <c r="O16" s="8" t="n">
        <v>6.89</v>
      </c>
      <c r="P16" s="10" t="n">
        <f aca="false">(O16/E16)^(1/10)-1</f>
        <v>0.0305401214241994</v>
      </c>
      <c r="Q16" s="11" t="n">
        <f aca="false">(O16-E16)/E16</f>
        <v>0.350980392156863</v>
      </c>
      <c r="R16" s="17" t="s">
        <v>28</v>
      </c>
    </row>
    <row r="17" customFormat="false" ht="15" hidden="false" customHeight="false" outlineLevel="0" collapsed="false">
      <c r="A17" s="13" t="s">
        <v>20</v>
      </c>
      <c r="B17" s="14" t="s">
        <v>51</v>
      </c>
      <c r="C17" s="15" t="s">
        <v>52</v>
      </c>
      <c r="D17" s="14" t="s">
        <v>53</v>
      </c>
      <c r="E17" s="16" t="n">
        <v>5.89</v>
      </c>
      <c r="F17" s="16" t="n">
        <v>6.09</v>
      </c>
      <c r="G17" s="16" t="n">
        <v>6.26</v>
      </c>
      <c r="H17" s="16" t="n">
        <v>7.44</v>
      </c>
      <c r="I17" s="16" t="n">
        <v>7.44</v>
      </c>
      <c r="J17" s="16" t="n">
        <v>7.59</v>
      </c>
      <c r="K17" s="16" t="n">
        <v>7.68</v>
      </c>
      <c r="L17" s="16" t="n">
        <v>8.35</v>
      </c>
      <c r="M17" s="16" t="n">
        <v>8.35</v>
      </c>
      <c r="N17" s="16" t="n">
        <v>8.83</v>
      </c>
      <c r="O17" s="16" t="n">
        <v>8.83</v>
      </c>
      <c r="P17" s="10" t="n">
        <f aca="false">(O17/E17)^(1/10)-1</f>
        <v>0.0413207940746883</v>
      </c>
      <c r="Q17" s="11" t="n">
        <f aca="false">(O17-E17)/E17</f>
        <v>0.499151103565365</v>
      </c>
      <c r="R17" s="17" t="s">
        <v>28</v>
      </c>
    </row>
    <row r="18" customFormat="false" ht="15" hidden="false" customHeight="false" outlineLevel="0" collapsed="false">
      <c r="A18" s="5" t="s">
        <v>20</v>
      </c>
      <c r="B18" s="6" t="s">
        <v>54</v>
      </c>
      <c r="C18" s="7" t="s">
        <v>55</v>
      </c>
      <c r="D18" s="6" t="s">
        <v>56</v>
      </c>
      <c r="E18" s="9" t="s">
        <v>24</v>
      </c>
      <c r="F18" s="9" t="s">
        <v>24</v>
      </c>
      <c r="G18" s="9" t="s">
        <v>24</v>
      </c>
      <c r="H18" s="9" t="s">
        <v>24</v>
      </c>
      <c r="I18" s="8" t="n">
        <v>9.79</v>
      </c>
      <c r="J18" s="8" t="n">
        <v>9.85</v>
      </c>
      <c r="K18" s="8" t="n">
        <v>9.95</v>
      </c>
      <c r="L18" s="8" t="n">
        <v>10.14</v>
      </c>
      <c r="M18" s="8" t="n">
        <v>11.52</v>
      </c>
      <c r="N18" s="8" t="n">
        <v>11.52</v>
      </c>
      <c r="O18" s="8" t="n">
        <v>11.52</v>
      </c>
      <c r="P18" s="10" t="n">
        <f aca="false">(O18/I18)^(1/6)-1</f>
        <v>0.0274916420742755</v>
      </c>
      <c r="Q18" s="11" t="n">
        <f aca="false">(O18-I18)/I18</f>
        <v>0.176710929519918</v>
      </c>
      <c r="R18" s="17" t="s">
        <v>28</v>
      </c>
    </row>
    <row r="19" customFormat="false" ht="15" hidden="false" customHeight="false" outlineLevel="0" collapsed="false">
      <c r="A19" s="13" t="s">
        <v>20</v>
      </c>
      <c r="B19" s="14" t="s">
        <v>57</v>
      </c>
      <c r="C19" s="15" t="s">
        <v>55</v>
      </c>
      <c r="D19" s="14" t="s">
        <v>58</v>
      </c>
      <c r="E19" s="9" t="s">
        <v>24</v>
      </c>
      <c r="F19" s="9" t="s">
        <v>24</v>
      </c>
      <c r="G19" s="9" t="s">
        <v>24</v>
      </c>
      <c r="H19" s="9" t="s">
        <v>24</v>
      </c>
      <c r="I19" s="9" t="s">
        <v>24</v>
      </c>
      <c r="J19" s="9" t="s">
        <v>24</v>
      </c>
      <c r="K19" s="9" t="s">
        <v>24</v>
      </c>
      <c r="L19" s="9" t="s">
        <v>24</v>
      </c>
      <c r="M19" s="16" t="n">
        <v>24.79</v>
      </c>
      <c r="N19" s="16" t="n">
        <v>24.97</v>
      </c>
      <c r="O19" s="16" t="n">
        <v>24.97</v>
      </c>
      <c r="P19" s="10" t="n">
        <f aca="false">(O19/M19)^(1/2)-1</f>
        <v>0.00362392973444958</v>
      </c>
      <c r="Q19" s="11" t="n">
        <f aca="false">(O19-M19)/M19</f>
        <v>0.00726099233561919</v>
      </c>
      <c r="R19" s="17" t="s">
        <v>28</v>
      </c>
    </row>
    <row r="20" customFormat="false" ht="15" hidden="false" customHeight="false" outlineLevel="0" collapsed="false">
      <c r="A20" s="5" t="s">
        <v>20</v>
      </c>
      <c r="B20" s="6" t="s">
        <v>59</v>
      </c>
      <c r="C20" s="7" t="s">
        <v>60</v>
      </c>
      <c r="D20" s="6" t="s">
        <v>61</v>
      </c>
      <c r="E20" s="9" t="s">
        <v>24</v>
      </c>
      <c r="F20" s="9" t="s">
        <v>24</v>
      </c>
      <c r="G20" s="9" t="s">
        <v>24</v>
      </c>
      <c r="H20" s="9" t="s">
        <v>24</v>
      </c>
      <c r="I20" s="9" t="s">
        <v>24</v>
      </c>
      <c r="J20" s="9" t="s">
        <v>24</v>
      </c>
      <c r="K20" s="9" t="s">
        <v>24</v>
      </c>
      <c r="L20" s="9" t="s">
        <v>24</v>
      </c>
      <c r="M20" s="9" t="s">
        <v>24</v>
      </c>
      <c r="N20" s="8" t="n">
        <v>10.5</v>
      </c>
      <c r="O20" s="8" t="n">
        <v>10.5</v>
      </c>
      <c r="P20" s="10" t="n">
        <f aca="false">(O20/N20)^(1/1)-1</f>
        <v>0</v>
      </c>
      <c r="Q20" s="11" t="n">
        <f aca="false">(O20-N20)/N20</f>
        <v>0</v>
      </c>
      <c r="R20" s="17" t="s">
        <v>28</v>
      </c>
    </row>
    <row r="21" customFormat="false" ht="15" hidden="false" customHeight="false" outlineLevel="0" collapsed="false">
      <c r="A21" s="13" t="s">
        <v>20</v>
      </c>
      <c r="B21" s="14" t="s">
        <v>62</v>
      </c>
      <c r="C21" s="15" t="s">
        <v>63</v>
      </c>
      <c r="D21" s="14" t="s">
        <v>64</v>
      </c>
      <c r="E21" s="16" t="n">
        <v>8.34</v>
      </c>
      <c r="F21" s="16" t="n">
        <v>8.34</v>
      </c>
      <c r="G21" s="16" t="n">
        <v>8.99</v>
      </c>
      <c r="H21" s="16" t="n">
        <v>9.12</v>
      </c>
      <c r="I21" s="16" t="n">
        <v>8.93</v>
      </c>
      <c r="J21" s="16" t="n">
        <v>9.02</v>
      </c>
      <c r="K21" s="9" t="s">
        <v>24</v>
      </c>
      <c r="L21" s="9" t="s">
        <v>24</v>
      </c>
      <c r="M21" s="9" t="s">
        <v>24</v>
      </c>
      <c r="N21" s="9" t="s">
        <v>24</v>
      </c>
      <c r="O21" s="9" t="s">
        <v>24</v>
      </c>
      <c r="P21" s="10" t="n">
        <f aca="false">(J21/E21)^(1/5)-1</f>
        <v>0.0157997401134622</v>
      </c>
      <c r="Q21" s="11" t="n">
        <f aca="false">(J21-E21)/E21</f>
        <v>0.0815347721822542</v>
      </c>
      <c r="R21" s="12" t="s">
        <v>25</v>
      </c>
    </row>
    <row r="22" customFormat="false" ht="15" hidden="false" customHeight="false" outlineLevel="0" collapsed="false">
      <c r="A22" s="5" t="s">
        <v>20</v>
      </c>
      <c r="B22" s="6" t="s">
        <v>65</v>
      </c>
      <c r="C22" s="7" t="s">
        <v>63</v>
      </c>
      <c r="D22" s="6" t="s">
        <v>66</v>
      </c>
      <c r="E22" s="9" t="s">
        <v>24</v>
      </c>
      <c r="F22" s="8" t="n">
        <v>6.99</v>
      </c>
      <c r="G22" s="8" t="n">
        <v>7.49</v>
      </c>
      <c r="H22" s="8" t="n">
        <v>7.78</v>
      </c>
      <c r="I22" s="8" t="n">
        <v>7.89</v>
      </c>
      <c r="J22" s="8" t="n">
        <v>7.99</v>
      </c>
      <c r="K22" s="8" t="n">
        <v>8.99</v>
      </c>
      <c r="L22" s="9" t="s">
        <v>24</v>
      </c>
      <c r="M22" s="9" t="s">
        <v>24</v>
      </c>
      <c r="N22" s="9" t="s">
        <v>24</v>
      </c>
      <c r="O22" s="9" t="s">
        <v>24</v>
      </c>
      <c r="P22" s="10" t="n">
        <f aca="false">(K22/F22)^(1/5)-1</f>
        <v>0.051614348731881</v>
      </c>
      <c r="Q22" s="11" t="n">
        <f aca="false">(K22-F22)/F22</f>
        <v>0.286123032904149</v>
      </c>
      <c r="R22" s="12" t="s">
        <v>25</v>
      </c>
    </row>
    <row r="23" customFormat="false" ht="15" hidden="false" customHeight="false" outlineLevel="0" collapsed="false">
      <c r="A23" s="13" t="s">
        <v>20</v>
      </c>
      <c r="B23" s="14" t="s">
        <v>67</v>
      </c>
      <c r="C23" s="15" t="s">
        <v>63</v>
      </c>
      <c r="D23" s="14" t="s">
        <v>68</v>
      </c>
      <c r="E23" s="9" t="s">
        <v>24</v>
      </c>
      <c r="F23" s="9" t="s">
        <v>24</v>
      </c>
      <c r="G23" s="9" t="s">
        <v>24</v>
      </c>
      <c r="H23" s="9" t="s">
        <v>24</v>
      </c>
      <c r="I23" s="9" t="s">
        <v>24</v>
      </c>
      <c r="J23" s="9" t="s">
        <v>24</v>
      </c>
      <c r="K23" s="9" t="s">
        <v>24</v>
      </c>
      <c r="L23" s="16" t="n">
        <v>11.44</v>
      </c>
      <c r="M23" s="16" t="n">
        <v>11.44</v>
      </c>
      <c r="N23" s="16" t="n">
        <v>8.26</v>
      </c>
      <c r="O23" s="16" t="n">
        <v>8.26</v>
      </c>
      <c r="P23" s="10" t="n">
        <f aca="false">(O23/L23)^(1/3)-1</f>
        <v>-0.102878342897747</v>
      </c>
      <c r="Q23" s="11" t="n">
        <f aca="false">(O23-L23)/L23</f>
        <v>-0.277972027972028</v>
      </c>
      <c r="R23" s="17" t="s">
        <v>28</v>
      </c>
    </row>
    <row r="24" customFormat="false" ht="15" hidden="false" customHeight="false" outlineLevel="0" collapsed="false">
      <c r="A24" s="5" t="s">
        <v>20</v>
      </c>
      <c r="B24" s="6" t="s">
        <v>69</v>
      </c>
      <c r="C24" s="7" t="s">
        <v>63</v>
      </c>
      <c r="D24" s="6" t="s">
        <v>70</v>
      </c>
      <c r="E24" s="9" t="s">
        <v>24</v>
      </c>
      <c r="F24" s="9" t="s">
        <v>24</v>
      </c>
      <c r="G24" s="9" t="s">
        <v>24</v>
      </c>
      <c r="H24" s="9" t="s">
        <v>24</v>
      </c>
      <c r="I24" s="9" t="s">
        <v>24</v>
      </c>
      <c r="J24" s="9" t="s">
        <v>24</v>
      </c>
      <c r="K24" s="9" t="s">
        <v>24</v>
      </c>
      <c r="L24" s="9" t="s">
        <v>24</v>
      </c>
      <c r="M24" s="8" t="n">
        <v>7.46</v>
      </c>
      <c r="N24" s="8" t="n">
        <v>7.52</v>
      </c>
      <c r="O24" s="8" t="n">
        <v>6.85</v>
      </c>
      <c r="P24" s="10" t="n">
        <f aca="false">(O24/M24)^(1/2)-1</f>
        <v>-0.0417565220661917</v>
      </c>
      <c r="Q24" s="11" t="n">
        <f aca="false">(O24-M24)/M24</f>
        <v>-0.0817694369973191</v>
      </c>
      <c r="R24" s="17" t="s">
        <v>28</v>
      </c>
    </row>
    <row r="25" customFormat="false" ht="15" hidden="false" customHeight="false" outlineLevel="0" collapsed="false">
      <c r="A25" s="13" t="s">
        <v>20</v>
      </c>
      <c r="B25" s="14" t="s">
        <v>71</v>
      </c>
      <c r="C25" s="15" t="s">
        <v>60</v>
      </c>
      <c r="D25" s="14" t="s">
        <v>72</v>
      </c>
      <c r="E25" s="9" t="s">
        <v>24</v>
      </c>
      <c r="F25" s="9" t="s">
        <v>24</v>
      </c>
      <c r="G25" s="9" t="s">
        <v>24</v>
      </c>
      <c r="H25" s="9" t="s">
        <v>24</v>
      </c>
      <c r="I25" s="9" t="s">
        <v>24</v>
      </c>
      <c r="J25" s="9" t="s">
        <v>24</v>
      </c>
      <c r="K25" s="9" t="s">
        <v>24</v>
      </c>
      <c r="L25" s="16" t="n">
        <v>10.45</v>
      </c>
      <c r="M25" s="16" t="n">
        <v>10.77</v>
      </c>
      <c r="N25" s="16" t="n">
        <v>10.77</v>
      </c>
      <c r="O25" s="16" t="n">
        <v>10.77</v>
      </c>
      <c r="P25" s="10" t="n">
        <f aca="false">(O25/L25)^(1/3)-1</f>
        <v>0.0101048839121329</v>
      </c>
      <c r="Q25" s="11" t="n">
        <f aca="false">(O25-L25)/L25</f>
        <v>0.030622009569378</v>
      </c>
      <c r="R25" s="17" t="s">
        <v>28</v>
      </c>
    </row>
    <row r="26" customFormat="false" ht="15" hidden="false" customHeight="false" outlineLevel="0" collapsed="false">
      <c r="A26" s="5" t="s">
        <v>20</v>
      </c>
      <c r="B26" s="6" t="s">
        <v>73</v>
      </c>
      <c r="C26" s="7" t="s">
        <v>74</v>
      </c>
      <c r="D26" s="6" t="s">
        <v>75</v>
      </c>
      <c r="E26" s="9" t="s">
        <v>24</v>
      </c>
      <c r="F26" s="9" t="s">
        <v>24</v>
      </c>
      <c r="G26" s="9" t="s">
        <v>24</v>
      </c>
      <c r="H26" s="9" t="s">
        <v>24</v>
      </c>
      <c r="I26" s="9" t="s">
        <v>24</v>
      </c>
      <c r="J26" s="9" t="s">
        <v>24</v>
      </c>
      <c r="K26" s="9" t="s">
        <v>24</v>
      </c>
      <c r="L26" s="9" t="s">
        <v>24</v>
      </c>
      <c r="M26" s="8" t="n">
        <v>12.74</v>
      </c>
      <c r="N26" s="8" t="n">
        <v>12.74</v>
      </c>
      <c r="O26" s="9" t="s">
        <v>24</v>
      </c>
      <c r="P26" s="10" t="n">
        <f aca="false">(N26/M26)^(1/1)-1</f>
        <v>0</v>
      </c>
      <c r="Q26" s="11" t="n">
        <f aca="false">(N26-M26)/M26</f>
        <v>0</v>
      </c>
      <c r="R26" s="17" t="s">
        <v>28</v>
      </c>
    </row>
    <row r="27" customFormat="false" ht="15" hidden="false" customHeight="false" outlineLevel="0" collapsed="false">
      <c r="A27" s="13" t="s">
        <v>20</v>
      </c>
      <c r="B27" s="14" t="s">
        <v>76</v>
      </c>
      <c r="C27" s="15" t="s">
        <v>77</v>
      </c>
      <c r="D27" s="14" t="s">
        <v>78</v>
      </c>
      <c r="E27" s="9" t="s">
        <v>24</v>
      </c>
      <c r="F27" s="9" t="s">
        <v>24</v>
      </c>
      <c r="G27" s="9" t="s">
        <v>24</v>
      </c>
      <c r="H27" s="9" t="s">
        <v>24</v>
      </c>
      <c r="I27" s="9" t="s">
        <v>24</v>
      </c>
      <c r="J27" s="9" t="s">
        <v>24</v>
      </c>
      <c r="K27" s="9" t="s">
        <v>24</v>
      </c>
      <c r="L27" s="9" t="s">
        <v>24</v>
      </c>
      <c r="M27" s="9" t="s">
        <v>24</v>
      </c>
      <c r="N27" s="9" t="s">
        <v>24</v>
      </c>
      <c r="O27" s="16" t="n">
        <v>10.99</v>
      </c>
      <c r="P27" s="18" t="s">
        <v>24</v>
      </c>
      <c r="Q27" s="18" t="s">
        <v>24</v>
      </c>
      <c r="R27" s="17" t="s">
        <v>28</v>
      </c>
    </row>
    <row r="28" customFormat="false" ht="15" hidden="false" customHeight="false" outlineLevel="0" collapsed="false">
      <c r="A28" s="4" t="s">
        <v>79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customFormat="false" ht="15" hidden="false" customHeight="false" outlineLevel="0" collapsed="false">
      <c r="A29" s="13" t="s">
        <v>79</v>
      </c>
      <c r="B29" s="14" t="s">
        <v>80</v>
      </c>
      <c r="C29" s="15" t="s">
        <v>22</v>
      </c>
      <c r="D29" s="14" t="s">
        <v>81</v>
      </c>
      <c r="E29" s="9" t="s">
        <v>24</v>
      </c>
      <c r="F29" s="9" t="s">
        <v>24</v>
      </c>
      <c r="G29" s="9" t="s">
        <v>24</v>
      </c>
      <c r="H29" s="16" t="n">
        <v>3.89</v>
      </c>
      <c r="I29" s="16" t="n">
        <v>4</v>
      </c>
      <c r="J29" s="16" t="n">
        <v>4.2</v>
      </c>
      <c r="K29" s="16" t="n">
        <v>4.2</v>
      </c>
      <c r="L29" s="16" t="n">
        <v>4.55</v>
      </c>
      <c r="M29" s="9" t="s">
        <v>24</v>
      </c>
      <c r="N29" s="9" t="s">
        <v>24</v>
      </c>
      <c r="O29" s="9" t="s">
        <v>24</v>
      </c>
      <c r="P29" s="10" t="n">
        <f aca="false">(L29/H29)^(1/4)-1</f>
        <v>0.0399571587894518</v>
      </c>
      <c r="Q29" s="11" t="n">
        <f aca="false">(L29-H29)/H29</f>
        <v>0.169665809768637</v>
      </c>
      <c r="R29" s="12" t="s">
        <v>25</v>
      </c>
    </row>
    <row r="30" customFormat="false" ht="15" hidden="false" customHeight="false" outlineLevel="0" collapsed="false">
      <c r="A30" s="19" t="s">
        <v>79</v>
      </c>
      <c r="B30" s="20" t="s">
        <v>82</v>
      </c>
      <c r="C30" s="21" t="s">
        <v>32</v>
      </c>
      <c r="D30" s="20" t="s">
        <v>83</v>
      </c>
      <c r="E30" s="22" t="n">
        <v>4.58</v>
      </c>
      <c r="F30" s="22" t="n">
        <v>4.65</v>
      </c>
      <c r="G30" s="22" t="n">
        <v>4.79</v>
      </c>
      <c r="H30" s="22" t="n">
        <v>4.79</v>
      </c>
      <c r="I30" s="9" t="s">
        <v>24</v>
      </c>
      <c r="J30" s="9" t="s">
        <v>24</v>
      </c>
      <c r="K30" s="9" t="s">
        <v>24</v>
      </c>
      <c r="L30" s="9" t="s">
        <v>24</v>
      </c>
      <c r="M30" s="9" t="s">
        <v>24</v>
      </c>
      <c r="N30" s="9" t="s">
        <v>24</v>
      </c>
      <c r="O30" s="9" t="s">
        <v>24</v>
      </c>
      <c r="P30" s="10" t="n">
        <f aca="false">(H30/E30)^(1/3)-1</f>
        <v>0.0150560213635198</v>
      </c>
      <c r="Q30" s="11" t="n">
        <f aca="false">(H30-E30)/E30</f>
        <v>0.0458515283842795</v>
      </c>
      <c r="R30" s="12" t="s">
        <v>25</v>
      </c>
    </row>
    <row r="31" customFormat="false" ht="15" hidden="false" customHeight="false" outlineLevel="0" collapsed="false">
      <c r="A31" s="13" t="s">
        <v>79</v>
      </c>
      <c r="B31" s="14" t="s">
        <v>84</v>
      </c>
      <c r="C31" s="15" t="s">
        <v>32</v>
      </c>
      <c r="D31" s="14" t="s">
        <v>85</v>
      </c>
      <c r="E31" s="9" t="s">
        <v>24</v>
      </c>
      <c r="F31" s="9" t="s">
        <v>24</v>
      </c>
      <c r="G31" s="9" t="s">
        <v>24</v>
      </c>
      <c r="H31" s="9" t="s">
        <v>24</v>
      </c>
      <c r="I31" s="16" t="n">
        <v>5.17</v>
      </c>
      <c r="J31" s="16" t="n">
        <v>5.36</v>
      </c>
      <c r="K31" s="16" t="n">
        <v>5.36</v>
      </c>
      <c r="L31" s="16" t="n">
        <v>5.92</v>
      </c>
      <c r="M31" s="16" t="n">
        <v>5.92</v>
      </c>
      <c r="N31" s="16" t="n">
        <v>5.55</v>
      </c>
      <c r="O31" s="16" t="n">
        <v>5.55</v>
      </c>
      <c r="P31" s="10" t="n">
        <f aca="false">(O31/I31)^(1/6)-1</f>
        <v>0.011891015837928</v>
      </c>
      <c r="Q31" s="11" t="n">
        <f aca="false">(O31-I31)/I31</f>
        <v>0.0735009671179884</v>
      </c>
      <c r="R31" s="17" t="s">
        <v>28</v>
      </c>
    </row>
    <row r="32" customFormat="false" ht="15" hidden="false" customHeight="false" outlineLevel="0" collapsed="false">
      <c r="A32" s="19" t="s">
        <v>79</v>
      </c>
      <c r="B32" s="20" t="s">
        <v>86</v>
      </c>
      <c r="C32" s="21" t="s">
        <v>43</v>
      </c>
      <c r="D32" s="20" t="s">
        <v>87</v>
      </c>
      <c r="E32" s="22" t="n">
        <v>4.98</v>
      </c>
      <c r="F32" s="22" t="n">
        <v>5.4</v>
      </c>
      <c r="G32" s="22" t="n">
        <v>5.64</v>
      </c>
      <c r="H32" s="22" t="n">
        <v>6.1</v>
      </c>
      <c r="I32" s="22" t="n">
        <v>6.5</v>
      </c>
      <c r="J32" s="22" t="n">
        <v>6.8</v>
      </c>
      <c r="K32" s="22" t="n">
        <v>6.8</v>
      </c>
      <c r="L32" s="22" t="n">
        <v>7.04</v>
      </c>
      <c r="M32" s="22" t="n">
        <v>7.04</v>
      </c>
      <c r="N32" s="22" t="n">
        <v>7.04</v>
      </c>
      <c r="O32" s="22" t="n">
        <v>5.99</v>
      </c>
      <c r="P32" s="10" t="n">
        <f aca="false">(O32/E32)^(1/10)-1</f>
        <v>0.0186377058480973</v>
      </c>
      <c r="Q32" s="11" t="n">
        <f aca="false">(O32-E32)/E32</f>
        <v>0.20281124497992</v>
      </c>
      <c r="R32" s="17" t="s">
        <v>28</v>
      </c>
    </row>
    <row r="33" customFormat="false" ht="15" hidden="false" customHeight="false" outlineLevel="0" collapsed="false">
      <c r="A33" s="13" t="s">
        <v>79</v>
      </c>
      <c r="B33" s="14" t="s">
        <v>88</v>
      </c>
      <c r="C33" s="15" t="s">
        <v>43</v>
      </c>
      <c r="D33" s="14" t="s">
        <v>89</v>
      </c>
      <c r="E33" s="9" t="s">
        <v>24</v>
      </c>
      <c r="F33" s="9" t="s">
        <v>24</v>
      </c>
      <c r="G33" s="9" t="s">
        <v>24</v>
      </c>
      <c r="H33" s="9" t="s">
        <v>24</v>
      </c>
      <c r="I33" s="9" t="s">
        <v>24</v>
      </c>
      <c r="J33" s="9" t="s">
        <v>24</v>
      </c>
      <c r="K33" s="16" t="n">
        <v>10.99</v>
      </c>
      <c r="L33" s="16" t="n">
        <v>11.98</v>
      </c>
      <c r="M33" s="16" t="n">
        <v>11.98</v>
      </c>
      <c r="N33" s="16" t="n">
        <v>11.98</v>
      </c>
      <c r="O33" s="9" t="s">
        <v>24</v>
      </c>
      <c r="P33" s="10" t="n">
        <f aca="false">(N33/K33)^(1/3)-1</f>
        <v>0.0291682393764967</v>
      </c>
      <c r="Q33" s="11" t="n">
        <f aca="false">(N33-K33)/K33</f>
        <v>0.0900818926296634</v>
      </c>
      <c r="R33" s="17" t="s">
        <v>28</v>
      </c>
    </row>
    <row r="34" customFormat="false" ht="15" hidden="false" customHeight="false" outlineLevel="0" collapsed="false">
      <c r="A34" s="19" t="s">
        <v>79</v>
      </c>
      <c r="B34" s="20" t="s">
        <v>90</v>
      </c>
      <c r="C34" s="21" t="s">
        <v>91</v>
      </c>
      <c r="D34" s="20" t="s">
        <v>92</v>
      </c>
      <c r="E34" s="9" t="s">
        <v>24</v>
      </c>
      <c r="F34" s="9" t="s">
        <v>24</v>
      </c>
      <c r="G34" s="9" t="s">
        <v>24</v>
      </c>
      <c r="H34" s="9" t="s">
        <v>24</v>
      </c>
      <c r="I34" s="9" t="s">
        <v>24</v>
      </c>
      <c r="J34" s="9" t="s">
        <v>24</v>
      </c>
      <c r="K34" s="9" t="s">
        <v>24</v>
      </c>
      <c r="L34" s="9" t="s">
        <v>24</v>
      </c>
      <c r="M34" s="22" t="n">
        <v>5.99</v>
      </c>
      <c r="N34" s="22" t="n">
        <v>5.8</v>
      </c>
      <c r="O34" s="22" t="n">
        <v>5.8</v>
      </c>
      <c r="P34" s="10" t="n">
        <f aca="false">(O34/M34)^(1/2)-1</f>
        <v>-0.0159875674333465</v>
      </c>
      <c r="Q34" s="11" t="n">
        <f aca="false">(O34-M34)/M34</f>
        <v>-0.0317195325542572</v>
      </c>
      <c r="R34" s="17" t="s">
        <v>28</v>
      </c>
    </row>
    <row r="35" customFormat="false" ht="15" hidden="false" customHeight="false" outlineLevel="0" collapsed="false">
      <c r="A35" s="13" t="s">
        <v>79</v>
      </c>
      <c r="B35" s="14" t="s">
        <v>93</v>
      </c>
      <c r="C35" s="15" t="s">
        <v>49</v>
      </c>
      <c r="D35" s="14" t="s">
        <v>94</v>
      </c>
      <c r="E35" s="9" t="s">
        <v>24</v>
      </c>
      <c r="F35" s="9" t="s">
        <v>24</v>
      </c>
      <c r="G35" s="9" t="s">
        <v>24</v>
      </c>
      <c r="H35" s="9" t="s">
        <v>24</v>
      </c>
      <c r="I35" s="9" t="s">
        <v>24</v>
      </c>
      <c r="J35" s="16" t="n">
        <v>5.79</v>
      </c>
      <c r="K35" s="16" t="n">
        <v>5.97</v>
      </c>
      <c r="L35" s="16" t="n">
        <v>6.49</v>
      </c>
      <c r="M35" s="16" t="n">
        <v>6.49</v>
      </c>
      <c r="N35" s="16" t="n">
        <v>6.49</v>
      </c>
      <c r="O35" s="16" t="n">
        <v>6</v>
      </c>
      <c r="P35" s="10" t="n">
        <f aca="false">(O35/J35)^(1/5)-1</f>
        <v>0.00715088184716262</v>
      </c>
      <c r="Q35" s="11" t="n">
        <f aca="false">(O35-J35)/J35</f>
        <v>0.0362694300518135</v>
      </c>
      <c r="R35" s="17" t="s">
        <v>28</v>
      </c>
    </row>
    <row r="36" customFormat="false" ht="15" hidden="false" customHeight="false" outlineLevel="0" collapsed="false">
      <c r="A36" s="19" t="s">
        <v>79</v>
      </c>
      <c r="B36" s="20" t="s">
        <v>95</v>
      </c>
      <c r="C36" s="21" t="s">
        <v>49</v>
      </c>
      <c r="D36" s="20" t="s">
        <v>96</v>
      </c>
      <c r="E36" s="22" t="n">
        <v>5.18</v>
      </c>
      <c r="F36" s="22" t="n">
        <v>5.18</v>
      </c>
      <c r="G36" s="22" t="n">
        <v>5.37</v>
      </c>
      <c r="H36" s="22" t="n">
        <v>5.58</v>
      </c>
      <c r="I36" s="22" t="n">
        <v>6.08</v>
      </c>
      <c r="J36" s="9" t="s">
        <v>24</v>
      </c>
      <c r="K36" s="9" t="s">
        <v>24</v>
      </c>
      <c r="L36" s="9" t="s">
        <v>24</v>
      </c>
      <c r="M36" s="9" t="s">
        <v>24</v>
      </c>
      <c r="N36" s="9" t="s">
        <v>24</v>
      </c>
      <c r="O36" s="9" t="s">
        <v>24</v>
      </c>
      <c r="P36" s="10" t="n">
        <f aca="false">(I36/E36)^(1/4)-1</f>
        <v>0.0408627222781584</v>
      </c>
      <c r="Q36" s="11" t="n">
        <f aca="false">(I36-E36)/E36</f>
        <v>0.173745173745174</v>
      </c>
      <c r="R36" s="12" t="s">
        <v>25</v>
      </c>
    </row>
    <row r="37" customFormat="false" ht="15" hidden="false" customHeight="false" outlineLevel="0" collapsed="false">
      <c r="A37" s="13" t="s">
        <v>79</v>
      </c>
      <c r="B37" s="14" t="s">
        <v>97</v>
      </c>
      <c r="C37" s="15" t="s">
        <v>49</v>
      </c>
      <c r="D37" s="14" t="s">
        <v>98</v>
      </c>
      <c r="E37" s="16" t="n">
        <v>7.69</v>
      </c>
      <c r="F37" s="16" t="n">
        <v>7.69</v>
      </c>
      <c r="G37" s="16" t="n">
        <v>8.3</v>
      </c>
      <c r="H37" s="16" t="n">
        <v>9.19</v>
      </c>
      <c r="I37" s="16" t="n">
        <v>9.19</v>
      </c>
      <c r="J37" s="16" t="n">
        <v>9.19</v>
      </c>
      <c r="K37" s="16" t="n">
        <v>9.19</v>
      </c>
      <c r="L37" s="16" t="n">
        <v>9.69</v>
      </c>
      <c r="M37" s="16" t="n">
        <v>10.98</v>
      </c>
      <c r="N37" s="16" t="n">
        <v>10.98</v>
      </c>
      <c r="O37" s="16" t="n">
        <v>10.98</v>
      </c>
      <c r="P37" s="10" t="n">
        <f aca="false">(O37/E37)^(1/10)-1</f>
        <v>0.0362572929345304</v>
      </c>
      <c r="Q37" s="11" t="n">
        <f aca="false">(O37-E37)/E37</f>
        <v>0.427828348504551</v>
      </c>
      <c r="R37" s="17" t="s">
        <v>28</v>
      </c>
    </row>
    <row r="38" customFormat="false" ht="15" hidden="false" customHeight="false" outlineLevel="0" collapsed="false">
      <c r="A38" s="19" t="s">
        <v>79</v>
      </c>
      <c r="B38" s="20" t="s">
        <v>99</v>
      </c>
      <c r="C38" s="21" t="s">
        <v>46</v>
      </c>
      <c r="D38" s="20" t="s">
        <v>100</v>
      </c>
      <c r="E38" s="22" t="n">
        <v>12.99</v>
      </c>
      <c r="F38" s="22" t="n">
        <v>13.49</v>
      </c>
      <c r="G38" s="22" t="n">
        <v>13.97</v>
      </c>
      <c r="H38" s="22" t="n">
        <v>14.5</v>
      </c>
      <c r="I38" s="22" t="n">
        <v>15.89</v>
      </c>
      <c r="J38" s="22" t="n">
        <v>17.99</v>
      </c>
      <c r="K38" s="22" t="n">
        <v>17.99</v>
      </c>
      <c r="L38" s="9" t="s">
        <v>24</v>
      </c>
      <c r="M38" s="9" t="s">
        <v>24</v>
      </c>
      <c r="N38" s="9" t="s">
        <v>24</v>
      </c>
      <c r="O38" s="9" t="s">
        <v>24</v>
      </c>
      <c r="P38" s="10" t="n">
        <f aca="false">(K38/E38)^(1/6)-1</f>
        <v>0.0557724750959776</v>
      </c>
      <c r="Q38" s="11" t="n">
        <f aca="false">(K38-E38)/E38</f>
        <v>0.384911470361817</v>
      </c>
      <c r="R38" s="12" t="s">
        <v>25</v>
      </c>
    </row>
    <row r="39" customFormat="false" ht="15" hidden="false" customHeight="false" outlineLevel="0" collapsed="false">
      <c r="A39" s="13" t="s">
        <v>79</v>
      </c>
      <c r="B39" s="14" t="s">
        <v>101</v>
      </c>
      <c r="C39" s="15" t="s">
        <v>63</v>
      </c>
      <c r="D39" s="14" t="s">
        <v>102</v>
      </c>
      <c r="E39" s="9" t="s">
        <v>24</v>
      </c>
      <c r="F39" s="9" t="s">
        <v>24</v>
      </c>
      <c r="G39" s="9" t="s">
        <v>24</v>
      </c>
      <c r="H39" s="9" t="s">
        <v>24</v>
      </c>
      <c r="I39" s="16" t="n">
        <v>6.99</v>
      </c>
      <c r="J39" s="16" t="n">
        <v>6.99</v>
      </c>
      <c r="K39" s="16" t="n">
        <v>6.99</v>
      </c>
      <c r="L39" s="16" t="n">
        <v>7.11</v>
      </c>
      <c r="M39" s="16" t="n">
        <v>7.89</v>
      </c>
      <c r="N39" s="16" t="n">
        <v>8</v>
      </c>
      <c r="O39" s="16" t="n">
        <v>8</v>
      </c>
      <c r="P39" s="10" t="n">
        <f aca="false">(O39/I39)^(1/6)-1</f>
        <v>0.0227483837954572</v>
      </c>
      <c r="Q39" s="11" t="n">
        <f aca="false">(O39-I39)/I39</f>
        <v>0.144492131616595</v>
      </c>
      <c r="R39" s="17" t="s">
        <v>28</v>
      </c>
    </row>
    <row r="40" customFormat="false" ht="15" hidden="false" customHeight="false" outlineLevel="0" collapsed="false">
      <c r="A40" s="19" t="s">
        <v>79</v>
      </c>
      <c r="B40" s="20" t="s">
        <v>103</v>
      </c>
      <c r="C40" s="21" t="s">
        <v>63</v>
      </c>
      <c r="D40" s="20" t="s">
        <v>104</v>
      </c>
      <c r="E40" s="9" t="s">
        <v>24</v>
      </c>
      <c r="F40" s="9" t="s">
        <v>24</v>
      </c>
      <c r="G40" s="9" t="s">
        <v>24</v>
      </c>
      <c r="H40" s="9" t="s">
        <v>24</v>
      </c>
      <c r="I40" s="9" t="s">
        <v>24</v>
      </c>
      <c r="J40" s="9" t="s">
        <v>24</v>
      </c>
      <c r="K40" s="9" t="s">
        <v>24</v>
      </c>
      <c r="L40" s="9" t="s">
        <v>24</v>
      </c>
      <c r="M40" s="22" t="n">
        <v>11.42</v>
      </c>
      <c r="N40" s="22" t="n">
        <v>11.98</v>
      </c>
      <c r="O40" s="9" t="s">
        <v>24</v>
      </c>
      <c r="P40" s="10" t="n">
        <f aca="false">(N40/M40)^(1/1)-1</f>
        <v>0.0490367775831875</v>
      </c>
      <c r="Q40" s="11" t="n">
        <f aca="false">(N40-M40)/M40</f>
        <v>0.0490367775831874</v>
      </c>
      <c r="R40" s="17" t="s">
        <v>28</v>
      </c>
    </row>
    <row r="41" customFormat="false" ht="15" hidden="false" customHeight="false" outlineLevel="0" collapsed="false">
      <c r="A41" s="13" t="s">
        <v>79</v>
      </c>
      <c r="B41" s="14" t="s">
        <v>105</v>
      </c>
      <c r="C41" s="15" t="s">
        <v>60</v>
      </c>
      <c r="D41" s="14" t="s">
        <v>106</v>
      </c>
      <c r="E41" s="16" t="n">
        <v>8.59</v>
      </c>
      <c r="F41" s="16" t="n">
        <v>8.59</v>
      </c>
      <c r="G41" s="16" t="n">
        <v>9.43</v>
      </c>
      <c r="H41" s="16" t="n">
        <v>9.43</v>
      </c>
      <c r="I41" s="16" t="n">
        <v>9.99</v>
      </c>
      <c r="J41" s="16" t="n">
        <v>9.99</v>
      </c>
      <c r="K41" s="16" t="n">
        <v>9.99</v>
      </c>
      <c r="L41" s="16" t="n">
        <v>10.87</v>
      </c>
      <c r="M41" s="16" t="n">
        <v>10.87</v>
      </c>
      <c r="N41" s="16" t="n">
        <v>10.79</v>
      </c>
      <c r="O41" s="16" t="n">
        <v>10.79</v>
      </c>
      <c r="P41" s="10" t="n">
        <f aca="false">(O41/E41)^(1/10)-1</f>
        <v>0.0230640595627296</v>
      </c>
      <c r="Q41" s="11" t="n">
        <f aca="false">(O41-E41)/E41</f>
        <v>0.256111757857974</v>
      </c>
      <c r="R41" s="17" t="s">
        <v>28</v>
      </c>
    </row>
    <row r="42" customFormat="false" ht="15" hidden="false" customHeight="false" outlineLevel="0" collapsed="false">
      <c r="A42" s="19" t="s">
        <v>79</v>
      </c>
      <c r="B42" s="20" t="s">
        <v>107</v>
      </c>
      <c r="C42" s="21" t="s">
        <v>77</v>
      </c>
      <c r="D42" s="20" t="s">
        <v>108</v>
      </c>
      <c r="E42" s="9" t="s">
        <v>24</v>
      </c>
      <c r="F42" s="9" t="s">
        <v>24</v>
      </c>
      <c r="G42" s="9" t="s">
        <v>24</v>
      </c>
      <c r="H42" s="9" t="s">
        <v>24</v>
      </c>
      <c r="I42" s="9" t="s">
        <v>24</v>
      </c>
      <c r="J42" s="9" t="s">
        <v>24</v>
      </c>
      <c r="K42" s="9" t="s">
        <v>24</v>
      </c>
      <c r="L42" s="9" t="s">
        <v>24</v>
      </c>
      <c r="M42" s="9" t="s">
        <v>24</v>
      </c>
      <c r="N42" s="22" t="n">
        <v>17.99</v>
      </c>
      <c r="O42" s="22" t="n">
        <v>17.99</v>
      </c>
      <c r="P42" s="10" t="n">
        <f aca="false">(O42/N42)^(1/1)-1</f>
        <v>0</v>
      </c>
      <c r="Q42" s="11" t="n">
        <f aca="false">(O42-N42)/N42</f>
        <v>0</v>
      </c>
      <c r="R42" s="17" t="s">
        <v>28</v>
      </c>
    </row>
    <row r="43" customFormat="false" ht="15" hidden="false" customHeight="false" outlineLevel="0" collapsed="false">
      <c r="A43" s="13" t="s">
        <v>79</v>
      </c>
      <c r="B43" s="14" t="s">
        <v>109</v>
      </c>
      <c r="C43" s="15" t="s">
        <v>60</v>
      </c>
      <c r="D43" s="14" t="s">
        <v>110</v>
      </c>
      <c r="E43" s="9" t="s">
        <v>24</v>
      </c>
      <c r="F43" s="9" t="s">
        <v>24</v>
      </c>
      <c r="G43" s="9" t="s">
        <v>24</v>
      </c>
      <c r="H43" s="9" t="s">
        <v>24</v>
      </c>
      <c r="I43" s="9" t="s">
        <v>24</v>
      </c>
      <c r="J43" s="9" t="s">
        <v>24</v>
      </c>
      <c r="K43" s="9" t="s">
        <v>24</v>
      </c>
      <c r="L43" s="9" t="s">
        <v>24</v>
      </c>
      <c r="M43" s="9" t="s">
        <v>24</v>
      </c>
      <c r="N43" s="16" t="n">
        <v>16.82</v>
      </c>
      <c r="O43" s="16" t="n">
        <v>16.82</v>
      </c>
      <c r="P43" s="10" t="n">
        <f aca="false">(O43/N43)^(1/1)-1</f>
        <v>0</v>
      </c>
      <c r="Q43" s="11" t="n">
        <f aca="false">(O43-N43)/N43</f>
        <v>0</v>
      </c>
      <c r="R43" s="17" t="s">
        <v>28</v>
      </c>
    </row>
    <row r="44" customFormat="false" ht="15" hidden="false" customHeight="false" outlineLevel="0" collapsed="false">
      <c r="A44" s="19" t="s">
        <v>79</v>
      </c>
      <c r="B44" s="20" t="s">
        <v>111</v>
      </c>
      <c r="C44" s="21" t="s">
        <v>112</v>
      </c>
      <c r="D44" s="20" t="s">
        <v>113</v>
      </c>
      <c r="E44" s="9" t="s">
        <v>24</v>
      </c>
      <c r="F44" s="9" t="s">
        <v>24</v>
      </c>
      <c r="G44" s="9" t="s">
        <v>24</v>
      </c>
      <c r="H44" s="9" t="s">
        <v>24</v>
      </c>
      <c r="I44" s="9" t="s">
        <v>24</v>
      </c>
      <c r="J44" s="9" t="s">
        <v>24</v>
      </c>
      <c r="K44" s="22" t="n">
        <v>16.3</v>
      </c>
      <c r="L44" s="22" t="n">
        <v>16.77</v>
      </c>
      <c r="M44" s="22" t="n">
        <v>16.77</v>
      </c>
      <c r="N44" s="22" t="n">
        <v>14.99</v>
      </c>
      <c r="O44" s="22" t="n">
        <v>15.99</v>
      </c>
      <c r="P44" s="10" t="n">
        <f aca="false">(O44/K44)^(1/4)-1</f>
        <v>-0.00478889175892416</v>
      </c>
      <c r="Q44" s="11" t="n">
        <f aca="false">(O44-K44)/K44</f>
        <v>-0.0190184049079755</v>
      </c>
      <c r="R44" s="17" t="s">
        <v>28</v>
      </c>
    </row>
    <row r="45" customFormat="false" ht="15" hidden="false" customHeight="false" outlineLevel="0" collapsed="false">
      <c r="A45" s="13" t="s">
        <v>79</v>
      </c>
      <c r="B45" s="14" t="s">
        <v>114</v>
      </c>
      <c r="C45" s="15" t="s">
        <v>115</v>
      </c>
      <c r="D45" s="14" t="s">
        <v>116</v>
      </c>
      <c r="E45" s="16" t="n">
        <v>19.04</v>
      </c>
      <c r="F45" s="16" t="n">
        <v>19.04</v>
      </c>
      <c r="G45" s="16" t="n">
        <v>19.29</v>
      </c>
      <c r="H45" s="16" t="n">
        <v>22.39</v>
      </c>
      <c r="I45" s="16" t="n">
        <v>22.39</v>
      </c>
      <c r="J45" s="16" t="n">
        <v>22.74</v>
      </c>
      <c r="K45" s="16" t="n">
        <v>22.74</v>
      </c>
      <c r="L45" s="16" t="n">
        <v>27.7</v>
      </c>
      <c r="M45" s="16" t="n">
        <v>27.7</v>
      </c>
      <c r="N45" s="16" t="n">
        <v>28.14</v>
      </c>
      <c r="O45" s="9" t="s">
        <v>24</v>
      </c>
      <c r="P45" s="10" t="n">
        <f aca="false">(N45/E45)^(1/9)-1</f>
        <v>0.0443613581165019</v>
      </c>
      <c r="Q45" s="11" t="n">
        <f aca="false">(N45-E45)/E45</f>
        <v>0.477941176470588</v>
      </c>
      <c r="R45" s="17" t="s">
        <v>28</v>
      </c>
    </row>
    <row r="46" customFormat="false" ht="15" hidden="false" customHeight="false" outlineLevel="0" collapsed="false">
      <c r="A46" s="19" t="s">
        <v>79</v>
      </c>
      <c r="B46" s="20" t="s">
        <v>117</v>
      </c>
      <c r="C46" s="21" t="s">
        <v>77</v>
      </c>
      <c r="D46" s="20" t="s">
        <v>118</v>
      </c>
      <c r="E46" s="9" t="s">
        <v>24</v>
      </c>
      <c r="F46" s="9" t="s">
        <v>24</v>
      </c>
      <c r="G46" s="9" t="s">
        <v>24</v>
      </c>
      <c r="H46" s="9" t="s">
        <v>24</v>
      </c>
      <c r="I46" s="22" t="n">
        <v>23.71</v>
      </c>
      <c r="J46" s="22" t="n">
        <v>23.79</v>
      </c>
      <c r="K46" s="22" t="n">
        <v>23.79</v>
      </c>
      <c r="L46" s="9" t="s">
        <v>24</v>
      </c>
      <c r="M46" s="9" t="s">
        <v>24</v>
      </c>
      <c r="N46" s="9" t="s">
        <v>24</v>
      </c>
      <c r="O46" s="9" t="s">
        <v>24</v>
      </c>
      <c r="P46" s="10" t="n">
        <f aca="false">(K46/I46)^(1/2)-1</f>
        <v>0.00168563120057308</v>
      </c>
      <c r="Q46" s="11" t="n">
        <f aca="false">(K46-I46)/I46</f>
        <v>0.00337410375369035</v>
      </c>
      <c r="R46" s="12" t="s">
        <v>25</v>
      </c>
    </row>
    <row r="47" customFormat="false" ht="15" hidden="false" customHeight="false" outlineLevel="0" collapsed="false">
      <c r="A47" s="13" t="s">
        <v>79</v>
      </c>
      <c r="B47" s="14" t="s">
        <v>119</v>
      </c>
      <c r="C47" s="15" t="s">
        <v>77</v>
      </c>
      <c r="D47" s="14" t="s">
        <v>120</v>
      </c>
      <c r="E47" s="9" t="s">
        <v>24</v>
      </c>
      <c r="F47" s="9" t="s">
        <v>24</v>
      </c>
      <c r="G47" s="9" t="s">
        <v>24</v>
      </c>
      <c r="H47" s="9" t="s">
        <v>24</v>
      </c>
      <c r="I47" s="9" t="s">
        <v>24</v>
      </c>
      <c r="J47" s="9" t="s">
        <v>24</v>
      </c>
      <c r="K47" s="9" t="s">
        <v>24</v>
      </c>
      <c r="L47" s="16" t="n">
        <v>44.95</v>
      </c>
      <c r="M47" s="16" t="n">
        <v>44.95</v>
      </c>
      <c r="N47" s="16" t="n">
        <v>46.3</v>
      </c>
      <c r="O47" s="16" t="n">
        <v>46.3</v>
      </c>
      <c r="P47" s="10" t="n">
        <f aca="false">(O47/L47)^(1/3)-1</f>
        <v>0.00991254035068168</v>
      </c>
      <c r="Q47" s="11" t="n">
        <f aca="false">(O47-L47)/L47</f>
        <v>0.0300333704115683</v>
      </c>
      <c r="R47" s="17" t="s">
        <v>28</v>
      </c>
    </row>
    <row r="48" customFormat="false" ht="15" hidden="false" customHeight="false" outlineLevel="0" collapsed="false">
      <c r="A48" s="4" t="s">
        <v>121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customFormat="false" ht="15" hidden="false" customHeight="false" outlineLevel="0" collapsed="false">
      <c r="A49" s="13" t="s">
        <v>121</v>
      </c>
      <c r="B49" s="14" t="s">
        <v>122</v>
      </c>
      <c r="C49" s="15" t="s">
        <v>22</v>
      </c>
      <c r="D49" s="14" t="s">
        <v>123</v>
      </c>
      <c r="E49" s="16" t="n">
        <v>2.49</v>
      </c>
      <c r="F49" s="16" t="n">
        <v>2.57</v>
      </c>
      <c r="G49" s="16" t="n">
        <v>2.63</v>
      </c>
      <c r="H49" s="9" t="s">
        <v>24</v>
      </c>
      <c r="I49" s="9" t="s">
        <v>24</v>
      </c>
      <c r="J49" s="9" t="s">
        <v>24</v>
      </c>
      <c r="K49" s="9" t="s">
        <v>24</v>
      </c>
      <c r="L49" s="9" t="s">
        <v>24</v>
      </c>
      <c r="M49" s="9" t="s">
        <v>24</v>
      </c>
      <c r="N49" s="9" t="s">
        <v>24</v>
      </c>
      <c r="O49" s="9" t="s">
        <v>24</v>
      </c>
      <c r="P49" s="10" t="n">
        <f aca="false">(G49/E49)^(1/2)-1</f>
        <v>0.027728028029981</v>
      </c>
      <c r="Q49" s="11" t="n">
        <f aca="false">(G49-E49)/E49</f>
        <v>0.0562248995983934</v>
      </c>
      <c r="R49" s="12" t="s">
        <v>25</v>
      </c>
    </row>
    <row r="50" customFormat="false" ht="15" hidden="false" customHeight="false" outlineLevel="0" collapsed="false">
      <c r="A50" s="23" t="s">
        <v>121</v>
      </c>
      <c r="B50" s="24" t="s">
        <v>124</v>
      </c>
      <c r="C50" s="25" t="s">
        <v>49</v>
      </c>
      <c r="D50" s="24" t="s">
        <v>125</v>
      </c>
      <c r="E50" s="26" t="n">
        <v>4.63</v>
      </c>
      <c r="F50" s="26" t="n">
        <v>4.79</v>
      </c>
      <c r="G50" s="26" t="n">
        <v>4.89</v>
      </c>
      <c r="H50" s="26" t="n">
        <v>4.99</v>
      </c>
      <c r="I50" s="9" t="s">
        <v>24</v>
      </c>
      <c r="J50" s="9" t="s">
        <v>24</v>
      </c>
      <c r="K50" s="9" t="s">
        <v>24</v>
      </c>
      <c r="L50" s="9" t="s">
        <v>24</v>
      </c>
      <c r="M50" s="9" t="s">
        <v>24</v>
      </c>
      <c r="N50" s="9" t="s">
        <v>24</v>
      </c>
      <c r="O50" s="9" t="s">
        <v>24</v>
      </c>
      <c r="P50" s="10" t="n">
        <f aca="false">(H50/E50)^(1/3)-1</f>
        <v>0.0252737812213109</v>
      </c>
      <c r="Q50" s="11" t="n">
        <f aca="false">(H50-E50)/E50</f>
        <v>0.0777537796976243</v>
      </c>
      <c r="R50" s="12" t="s">
        <v>25</v>
      </c>
    </row>
    <row r="51" customFormat="false" ht="15" hidden="false" customHeight="false" outlineLevel="0" collapsed="false">
      <c r="A51" s="13" t="s">
        <v>121</v>
      </c>
      <c r="B51" s="14" t="s">
        <v>126</v>
      </c>
      <c r="C51" s="15" t="s">
        <v>32</v>
      </c>
      <c r="D51" s="14" t="s">
        <v>127</v>
      </c>
      <c r="E51" s="16" t="n">
        <v>4.4</v>
      </c>
      <c r="F51" s="16" t="n">
        <v>4.5</v>
      </c>
      <c r="G51" s="16" t="n">
        <v>4.65</v>
      </c>
      <c r="H51" s="9" t="s">
        <v>24</v>
      </c>
      <c r="I51" s="9" t="s">
        <v>24</v>
      </c>
      <c r="J51" s="9" t="s">
        <v>24</v>
      </c>
      <c r="K51" s="9" t="s">
        <v>24</v>
      </c>
      <c r="L51" s="9" t="s">
        <v>24</v>
      </c>
      <c r="M51" s="9" t="s">
        <v>24</v>
      </c>
      <c r="N51" s="9" t="s">
        <v>24</v>
      </c>
      <c r="O51" s="9" t="s">
        <v>24</v>
      </c>
      <c r="P51" s="10" t="n">
        <f aca="false">(G51/E51)^(1/2)-1</f>
        <v>0.0280166252635128</v>
      </c>
      <c r="Q51" s="11" t="n">
        <f aca="false">(G51-E51)/E51</f>
        <v>0.0568181818181818</v>
      </c>
      <c r="R51" s="12" t="s">
        <v>25</v>
      </c>
    </row>
    <row r="52" customFormat="false" ht="15" hidden="false" customHeight="false" outlineLevel="0" collapsed="false">
      <c r="A52" s="23" t="s">
        <v>121</v>
      </c>
      <c r="B52" s="24" t="s">
        <v>128</v>
      </c>
      <c r="C52" s="25" t="s">
        <v>32</v>
      </c>
      <c r="D52" s="24" t="s">
        <v>129</v>
      </c>
      <c r="E52" s="9" t="s">
        <v>24</v>
      </c>
      <c r="F52" s="26" t="n">
        <v>4.2</v>
      </c>
      <c r="G52" s="26" t="n">
        <v>4.2</v>
      </c>
      <c r="H52" s="26" t="n">
        <v>4.65</v>
      </c>
      <c r="I52" s="26" t="n">
        <v>4.85</v>
      </c>
      <c r="J52" s="26" t="n">
        <v>5.09</v>
      </c>
      <c r="K52" s="26" t="n">
        <v>5.09</v>
      </c>
      <c r="L52" s="26" t="n">
        <v>5.6</v>
      </c>
      <c r="M52" s="26" t="n">
        <v>5.49</v>
      </c>
      <c r="N52" s="26" t="n">
        <v>4.99</v>
      </c>
      <c r="O52" s="26" t="n">
        <v>4.99</v>
      </c>
      <c r="P52" s="10" t="n">
        <f aca="false">(O52/F52)^(1/9)-1</f>
        <v>0.0193346941357764</v>
      </c>
      <c r="Q52" s="11" t="n">
        <f aca="false">(O52-F52)/F52</f>
        <v>0.188095238095238</v>
      </c>
      <c r="R52" s="17" t="s">
        <v>28</v>
      </c>
    </row>
    <row r="53" customFormat="false" ht="15" hidden="false" customHeight="false" outlineLevel="0" collapsed="false">
      <c r="A53" s="13" t="s">
        <v>121</v>
      </c>
      <c r="B53" s="14" t="s">
        <v>130</v>
      </c>
      <c r="C53" s="15" t="s">
        <v>32</v>
      </c>
      <c r="D53" s="14" t="s">
        <v>131</v>
      </c>
      <c r="E53" s="9" t="s">
        <v>24</v>
      </c>
      <c r="F53" s="9" t="s">
        <v>24</v>
      </c>
      <c r="G53" s="9" t="s">
        <v>24</v>
      </c>
      <c r="H53" s="16" t="n">
        <v>5.42</v>
      </c>
      <c r="I53" s="16" t="n">
        <v>5.67</v>
      </c>
      <c r="J53" s="9" t="s">
        <v>24</v>
      </c>
      <c r="K53" s="9" t="s">
        <v>24</v>
      </c>
      <c r="L53" s="9" t="s">
        <v>24</v>
      </c>
      <c r="M53" s="9" t="s">
        <v>24</v>
      </c>
      <c r="N53" s="9" t="s">
        <v>24</v>
      </c>
      <c r="O53" s="9" t="s">
        <v>24</v>
      </c>
      <c r="P53" s="10" t="n">
        <f aca="false">(I53/H53)^(1/1)-1</f>
        <v>0.0461254612546125</v>
      </c>
      <c r="Q53" s="11" t="n">
        <f aca="false">(I53-H53)/H53</f>
        <v>0.0461254612546125</v>
      </c>
      <c r="R53" s="12" t="s">
        <v>25</v>
      </c>
    </row>
    <row r="54" customFormat="false" ht="15" hidden="false" customHeight="false" outlineLevel="0" collapsed="false">
      <c r="A54" s="23" t="s">
        <v>121</v>
      </c>
      <c r="B54" s="24" t="s">
        <v>132</v>
      </c>
      <c r="C54" s="25" t="s">
        <v>133</v>
      </c>
      <c r="D54" s="24" t="s">
        <v>134</v>
      </c>
      <c r="E54" s="9" t="s">
        <v>24</v>
      </c>
      <c r="F54" s="9" t="s">
        <v>24</v>
      </c>
      <c r="G54" s="9" t="s">
        <v>24</v>
      </c>
      <c r="H54" s="9" t="s">
        <v>24</v>
      </c>
      <c r="I54" s="9" t="s">
        <v>24</v>
      </c>
      <c r="J54" s="9" t="s">
        <v>24</v>
      </c>
      <c r="K54" s="9" t="s">
        <v>24</v>
      </c>
      <c r="L54" s="26" t="n">
        <v>8.69</v>
      </c>
      <c r="M54" s="26" t="n">
        <v>8.69</v>
      </c>
      <c r="N54" s="26" t="n">
        <v>8.99</v>
      </c>
      <c r="O54" s="26" t="n">
        <v>7.99</v>
      </c>
      <c r="P54" s="10" t="n">
        <f aca="false">(O54/L54)^(1/3)-1</f>
        <v>-0.0276058570323479</v>
      </c>
      <c r="Q54" s="11" t="n">
        <f aca="false">(O54-L54)/L54</f>
        <v>-0.0805523590333716</v>
      </c>
      <c r="R54" s="17" t="s">
        <v>28</v>
      </c>
    </row>
    <row r="55" customFormat="false" ht="15" hidden="false" customHeight="false" outlineLevel="0" collapsed="false">
      <c r="A55" s="13" t="s">
        <v>121</v>
      </c>
      <c r="B55" s="14" t="s">
        <v>135</v>
      </c>
      <c r="C55" s="15" t="s">
        <v>43</v>
      </c>
      <c r="D55" s="14" t="s">
        <v>94</v>
      </c>
      <c r="E55" s="9" t="s">
        <v>24</v>
      </c>
      <c r="F55" s="9" t="s">
        <v>24</v>
      </c>
      <c r="G55" s="9" t="s">
        <v>24</v>
      </c>
      <c r="H55" s="9" t="s">
        <v>24</v>
      </c>
      <c r="I55" s="9" t="s">
        <v>24</v>
      </c>
      <c r="J55" s="16" t="n">
        <v>5.44</v>
      </c>
      <c r="K55" s="16" t="n">
        <v>5.85</v>
      </c>
      <c r="L55" s="16" t="n">
        <v>6.35</v>
      </c>
      <c r="M55" s="16" t="n">
        <v>6.65</v>
      </c>
      <c r="N55" s="16" t="n">
        <v>6.3</v>
      </c>
      <c r="O55" s="16" t="n">
        <v>6.3</v>
      </c>
      <c r="P55" s="10" t="n">
        <f aca="false">(O55/J55)^(1/5)-1</f>
        <v>0.0297891932078327</v>
      </c>
      <c r="Q55" s="11" t="n">
        <f aca="false">(O55-J55)/J55</f>
        <v>0.158088235294118</v>
      </c>
      <c r="R55" s="17" t="s">
        <v>28</v>
      </c>
    </row>
    <row r="56" customFormat="false" ht="15" hidden="false" customHeight="false" outlineLevel="0" collapsed="false">
      <c r="A56" s="23" t="s">
        <v>121</v>
      </c>
      <c r="B56" s="24" t="s">
        <v>136</v>
      </c>
      <c r="C56" s="25" t="s">
        <v>49</v>
      </c>
      <c r="D56" s="24" t="s">
        <v>137</v>
      </c>
      <c r="E56" s="9" t="s">
        <v>24</v>
      </c>
      <c r="F56" s="9" t="s">
        <v>24</v>
      </c>
      <c r="G56" s="26" t="n">
        <v>4.7</v>
      </c>
      <c r="H56" s="26" t="n">
        <v>5.26</v>
      </c>
      <c r="I56" s="26" t="n">
        <v>5.26</v>
      </c>
      <c r="J56" s="26" t="n">
        <v>5.49</v>
      </c>
      <c r="K56" s="26" t="n">
        <v>5.75</v>
      </c>
      <c r="L56" s="26" t="n">
        <v>5.99</v>
      </c>
      <c r="M56" s="26" t="n">
        <v>5.99</v>
      </c>
      <c r="N56" s="26" t="n">
        <v>5.75</v>
      </c>
      <c r="O56" s="26" t="n">
        <v>5.48</v>
      </c>
      <c r="P56" s="10" t="n">
        <f aca="false">(O56/G56)^(1/8)-1</f>
        <v>0.0193781902790635</v>
      </c>
      <c r="Q56" s="11" t="n">
        <f aca="false">(O56-G56)/G56</f>
        <v>0.165957446808511</v>
      </c>
      <c r="R56" s="17" t="s">
        <v>28</v>
      </c>
    </row>
    <row r="57" customFormat="false" ht="15" hidden="false" customHeight="false" outlineLevel="0" collapsed="false">
      <c r="A57" s="13" t="s">
        <v>121</v>
      </c>
      <c r="B57" s="14" t="s">
        <v>138</v>
      </c>
      <c r="C57" s="15" t="s">
        <v>139</v>
      </c>
      <c r="D57" s="14" t="s">
        <v>140</v>
      </c>
      <c r="E57" s="9" t="s">
        <v>24</v>
      </c>
      <c r="F57" s="9" t="s">
        <v>24</v>
      </c>
      <c r="G57" s="9" t="s">
        <v>24</v>
      </c>
      <c r="H57" s="9" t="s">
        <v>24</v>
      </c>
      <c r="I57" s="9" t="s">
        <v>24</v>
      </c>
      <c r="J57" s="9" t="s">
        <v>24</v>
      </c>
      <c r="K57" s="16" t="n">
        <v>12.49</v>
      </c>
      <c r="L57" s="16" t="n">
        <v>12.49</v>
      </c>
      <c r="M57" s="16" t="n">
        <v>12.49</v>
      </c>
      <c r="N57" s="9" t="s">
        <v>24</v>
      </c>
      <c r="O57" s="9" t="s">
        <v>24</v>
      </c>
      <c r="P57" s="10" t="n">
        <f aca="false">(M57/K57)^(1/2)-1</f>
        <v>0</v>
      </c>
      <c r="Q57" s="11" t="n">
        <f aca="false">(M57-K57)/K57</f>
        <v>0</v>
      </c>
      <c r="R57" s="12" t="s">
        <v>25</v>
      </c>
    </row>
    <row r="58" customFormat="false" ht="15" hidden="false" customHeight="false" outlineLevel="0" collapsed="false">
      <c r="A58" s="23" t="s">
        <v>121</v>
      </c>
      <c r="B58" s="24" t="s">
        <v>141</v>
      </c>
      <c r="C58" s="25" t="s">
        <v>142</v>
      </c>
      <c r="D58" s="24" t="s">
        <v>143</v>
      </c>
      <c r="E58" s="9" t="s">
        <v>24</v>
      </c>
      <c r="F58" s="26" t="n">
        <v>13.2</v>
      </c>
      <c r="G58" s="26" t="n">
        <v>13.99</v>
      </c>
      <c r="H58" s="26" t="n">
        <v>14.47</v>
      </c>
      <c r="I58" s="9" t="s">
        <v>24</v>
      </c>
      <c r="J58" s="9" t="s">
        <v>24</v>
      </c>
      <c r="K58" s="9" t="s">
        <v>24</v>
      </c>
      <c r="L58" s="9" t="s">
        <v>24</v>
      </c>
      <c r="M58" s="9" t="s">
        <v>24</v>
      </c>
      <c r="N58" s="9" t="s">
        <v>24</v>
      </c>
      <c r="O58" s="9" t="s">
        <v>24</v>
      </c>
      <c r="P58" s="10" t="n">
        <f aca="false">(H58/F58)^(1/2)-1</f>
        <v>0.0470014905491403</v>
      </c>
      <c r="Q58" s="11" t="n">
        <f aca="false">(H58-F58)/F58</f>
        <v>0.0962121212121213</v>
      </c>
      <c r="R58" s="12" t="s">
        <v>25</v>
      </c>
    </row>
    <row r="59" customFormat="false" ht="15" hidden="false" customHeight="false" outlineLevel="0" collapsed="false">
      <c r="A59" s="13" t="s">
        <v>121</v>
      </c>
      <c r="B59" s="14" t="s">
        <v>144</v>
      </c>
      <c r="C59" s="15" t="s">
        <v>91</v>
      </c>
      <c r="D59" s="14" t="s">
        <v>145</v>
      </c>
      <c r="E59" s="9" t="s">
        <v>24</v>
      </c>
      <c r="F59" s="9" t="s">
        <v>24</v>
      </c>
      <c r="G59" s="9" t="s">
        <v>24</v>
      </c>
      <c r="H59" s="9" t="s">
        <v>24</v>
      </c>
      <c r="I59" s="9" t="s">
        <v>24</v>
      </c>
      <c r="J59" s="9" t="s">
        <v>24</v>
      </c>
      <c r="K59" s="16" t="n">
        <v>5.49</v>
      </c>
      <c r="L59" s="16" t="n">
        <v>5.93</v>
      </c>
      <c r="M59" s="16" t="n">
        <v>6.13</v>
      </c>
      <c r="N59" s="16" t="n">
        <v>5.6</v>
      </c>
      <c r="O59" s="16" t="n">
        <v>5.6</v>
      </c>
      <c r="P59" s="10" t="n">
        <f aca="false">(O59/K59)^(1/4)-1</f>
        <v>0.00497190465681419</v>
      </c>
      <c r="Q59" s="11" t="n">
        <f aca="false">(O59-K59)/K59</f>
        <v>0.0200364298724953</v>
      </c>
      <c r="R59" s="17" t="s">
        <v>28</v>
      </c>
    </row>
    <row r="60" customFormat="false" ht="15" hidden="false" customHeight="false" outlineLevel="0" collapsed="false">
      <c r="A60" s="23" t="s">
        <v>121</v>
      </c>
      <c r="B60" s="24" t="s">
        <v>146</v>
      </c>
      <c r="C60" s="25" t="s">
        <v>77</v>
      </c>
      <c r="D60" s="24" t="s">
        <v>147</v>
      </c>
      <c r="E60" s="9" t="s">
        <v>24</v>
      </c>
      <c r="F60" s="9" t="s">
        <v>24</v>
      </c>
      <c r="G60" s="9" t="s">
        <v>24</v>
      </c>
      <c r="H60" s="9" t="s">
        <v>24</v>
      </c>
      <c r="I60" s="9" t="s">
        <v>24</v>
      </c>
      <c r="J60" s="9" t="s">
        <v>24</v>
      </c>
      <c r="K60" s="9" t="s">
        <v>24</v>
      </c>
      <c r="L60" s="9" t="s">
        <v>24</v>
      </c>
      <c r="M60" s="9" t="s">
        <v>24</v>
      </c>
      <c r="N60" s="26" t="n">
        <v>9.99</v>
      </c>
      <c r="O60" s="26" t="n">
        <v>9.99</v>
      </c>
      <c r="P60" s="10" t="n">
        <f aca="false">(O60/N60)^(1/1)-1</f>
        <v>0</v>
      </c>
      <c r="Q60" s="11" t="n">
        <f aca="false">(O60-N60)/N60</f>
        <v>0</v>
      </c>
      <c r="R60" s="17" t="s">
        <v>28</v>
      </c>
    </row>
    <row r="61" customFormat="false" ht="15" hidden="false" customHeight="false" outlineLevel="0" collapsed="false">
      <c r="A61" s="13" t="s">
        <v>121</v>
      </c>
      <c r="B61" s="14" t="s">
        <v>148</v>
      </c>
      <c r="C61" s="15" t="s">
        <v>63</v>
      </c>
      <c r="D61" s="14" t="s">
        <v>149</v>
      </c>
      <c r="E61" s="9" t="s">
        <v>24</v>
      </c>
      <c r="F61" s="9" t="s">
        <v>24</v>
      </c>
      <c r="G61" s="16" t="n">
        <v>5.85</v>
      </c>
      <c r="H61" s="16" t="n">
        <v>5.85</v>
      </c>
      <c r="I61" s="16" t="n">
        <v>5.99</v>
      </c>
      <c r="J61" s="16" t="n">
        <v>6.95</v>
      </c>
      <c r="K61" s="16" t="n">
        <v>6.95</v>
      </c>
      <c r="L61" s="16" t="n">
        <v>7.8</v>
      </c>
      <c r="M61" s="16" t="n">
        <v>8</v>
      </c>
      <c r="N61" s="16" t="n">
        <v>7.32</v>
      </c>
      <c r="O61" s="16" t="n">
        <v>7.32</v>
      </c>
      <c r="P61" s="10" t="n">
        <f aca="false">(O61/G61)^(1/8)-1</f>
        <v>0.028417366667076</v>
      </c>
      <c r="Q61" s="11" t="n">
        <f aca="false">(O61-G61)/G61</f>
        <v>0.251282051282051</v>
      </c>
      <c r="R61" s="17" t="s">
        <v>28</v>
      </c>
    </row>
    <row r="62" customFormat="false" ht="15" hidden="false" customHeight="false" outlineLevel="0" collapsed="false">
      <c r="A62" s="23" t="s">
        <v>121</v>
      </c>
      <c r="B62" s="24" t="s">
        <v>150</v>
      </c>
      <c r="C62" s="25" t="s">
        <v>77</v>
      </c>
      <c r="D62" s="24" t="s">
        <v>151</v>
      </c>
      <c r="E62" s="9" t="s">
        <v>24</v>
      </c>
      <c r="F62" s="9" t="s">
        <v>24</v>
      </c>
      <c r="G62" s="9" t="s">
        <v>24</v>
      </c>
      <c r="H62" s="9" t="s">
        <v>24</v>
      </c>
      <c r="I62" s="9" t="s">
        <v>24</v>
      </c>
      <c r="J62" s="26" t="n">
        <v>13.99</v>
      </c>
      <c r="K62" s="26" t="n">
        <v>13.99</v>
      </c>
      <c r="L62" s="26" t="n">
        <v>14.49</v>
      </c>
      <c r="M62" s="26" t="n">
        <v>14.49</v>
      </c>
      <c r="N62" s="26" t="n">
        <v>14.49</v>
      </c>
      <c r="O62" s="9" t="s">
        <v>24</v>
      </c>
      <c r="P62" s="10" t="n">
        <f aca="false">(N62/J62)^(1/4)-1</f>
        <v>0.00881764027841614</v>
      </c>
      <c r="Q62" s="11" t="n">
        <f aca="false">(N62-J62)/J62</f>
        <v>0.0357398141529664</v>
      </c>
      <c r="R62" s="17" t="s">
        <v>28</v>
      </c>
    </row>
    <row r="63" customFormat="false" ht="15" hidden="false" customHeight="false" outlineLevel="0" collapsed="false">
      <c r="A63" s="13" t="s">
        <v>121</v>
      </c>
      <c r="B63" s="14" t="s">
        <v>152</v>
      </c>
      <c r="C63" s="15" t="s">
        <v>77</v>
      </c>
      <c r="D63" s="14" t="s">
        <v>153</v>
      </c>
      <c r="E63" s="9" t="s">
        <v>24</v>
      </c>
      <c r="F63" s="9" t="s">
        <v>24</v>
      </c>
      <c r="G63" s="9" t="s">
        <v>24</v>
      </c>
      <c r="H63" s="9" t="s">
        <v>24</v>
      </c>
      <c r="I63" s="9" t="s">
        <v>24</v>
      </c>
      <c r="J63" s="9" t="s">
        <v>24</v>
      </c>
      <c r="K63" s="9" t="s">
        <v>24</v>
      </c>
      <c r="L63" s="9" t="s">
        <v>24</v>
      </c>
      <c r="M63" s="16" t="n">
        <v>14.49</v>
      </c>
      <c r="N63" s="16" t="n">
        <v>14.49</v>
      </c>
      <c r="O63" s="16" t="n">
        <v>14.49</v>
      </c>
      <c r="P63" s="10" t="n">
        <f aca="false">(O63/M63)^(1/2)-1</f>
        <v>0</v>
      </c>
      <c r="Q63" s="11" t="n">
        <f aca="false">(O63-M63)/M63</f>
        <v>0</v>
      </c>
      <c r="R63" s="17" t="s">
        <v>28</v>
      </c>
    </row>
    <row r="64" customFormat="false" ht="15" hidden="false" customHeight="false" outlineLevel="0" collapsed="false">
      <c r="A64" s="23" t="s">
        <v>121</v>
      </c>
      <c r="B64" s="24" t="s">
        <v>154</v>
      </c>
      <c r="C64" s="25" t="s">
        <v>60</v>
      </c>
      <c r="D64" s="24" t="s">
        <v>155</v>
      </c>
      <c r="E64" s="9" t="s">
        <v>24</v>
      </c>
      <c r="F64" s="9" t="s">
        <v>24</v>
      </c>
      <c r="G64" s="9" t="s">
        <v>24</v>
      </c>
      <c r="H64" s="9" t="s">
        <v>24</v>
      </c>
      <c r="I64" s="26" t="n">
        <v>13.69</v>
      </c>
      <c r="J64" s="26" t="n">
        <v>13.69</v>
      </c>
      <c r="K64" s="26" t="n">
        <v>14.99</v>
      </c>
      <c r="L64" s="26" t="n">
        <v>14.89</v>
      </c>
      <c r="M64" s="26" t="n">
        <v>15.49</v>
      </c>
      <c r="N64" s="26" t="n">
        <v>12.89</v>
      </c>
      <c r="O64" s="26" t="n">
        <v>12.89</v>
      </c>
      <c r="P64" s="10" t="n">
        <f aca="false">(O64/I64)^(1/6)-1</f>
        <v>-0.00998544808571422</v>
      </c>
      <c r="Q64" s="11" t="n">
        <f aca="false">(O64-I64)/I64</f>
        <v>-0.0584368151935719</v>
      </c>
      <c r="R64" s="17" t="s">
        <v>28</v>
      </c>
    </row>
    <row r="65" customFormat="false" ht="15" hidden="false" customHeight="false" outlineLevel="0" collapsed="false">
      <c r="A65" s="13" t="s">
        <v>121</v>
      </c>
      <c r="B65" s="14" t="s">
        <v>156</v>
      </c>
      <c r="C65" s="15" t="s">
        <v>77</v>
      </c>
      <c r="D65" s="14" t="s">
        <v>157</v>
      </c>
      <c r="E65" s="9" t="s">
        <v>24</v>
      </c>
      <c r="F65" s="9" t="s">
        <v>24</v>
      </c>
      <c r="G65" s="9" t="s">
        <v>24</v>
      </c>
      <c r="H65" s="9" t="s">
        <v>24</v>
      </c>
      <c r="I65" s="9" t="s">
        <v>24</v>
      </c>
      <c r="J65" s="9" t="s">
        <v>24</v>
      </c>
      <c r="K65" s="9" t="s">
        <v>24</v>
      </c>
      <c r="L65" s="9" t="s">
        <v>24</v>
      </c>
      <c r="M65" s="9" t="s">
        <v>24</v>
      </c>
      <c r="N65" s="9" t="s">
        <v>24</v>
      </c>
      <c r="O65" s="16" t="n">
        <v>21.49</v>
      </c>
      <c r="P65" s="18" t="s">
        <v>24</v>
      </c>
      <c r="Q65" s="18" t="s">
        <v>24</v>
      </c>
      <c r="R65" s="17" t="s">
        <v>28</v>
      </c>
    </row>
    <row r="66" customFormat="false" ht="15" hidden="false" customHeight="false" outlineLevel="0" collapsed="false">
      <c r="A66" s="23" t="s">
        <v>121</v>
      </c>
      <c r="B66" s="24" t="s">
        <v>158</v>
      </c>
      <c r="C66" s="25" t="s">
        <v>112</v>
      </c>
      <c r="D66" s="24" t="s">
        <v>159</v>
      </c>
      <c r="E66" s="9" t="s">
        <v>24</v>
      </c>
      <c r="F66" s="9" t="s">
        <v>24</v>
      </c>
      <c r="G66" s="9" t="s">
        <v>24</v>
      </c>
      <c r="H66" s="9" t="s">
        <v>24</v>
      </c>
      <c r="I66" s="9" t="s">
        <v>24</v>
      </c>
      <c r="J66" s="9" t="s">
        <v>24</v>
      </c>
      <c r="K66" s="26" t="n">
        <v>15.65</v>
      </c>
      <c r="L66" s="26" t="n">
        <v>15.65</v>
      </c>
      <c r="M66" s="26" t="n">
        <v>16.19</v>
      </c>
      <c r="N66" s="26" t="n">
        <v>14.66</v>
      </c>
      <c r="O66" s="26" t="n">
        <v>14.66</v>
      </c>
      <c r="P66" s="10" t="n">
        <f aca="false">(O66/K66)^(1/4)-1</f>
        <v>-0.0162043292132127</v>
      </c>
      <c r="Q66" s="11" t="n">
        <f aca="false">(O66-K66)/K66</f>
        <v>-0.063258785942492</v>
      </c>
      <c r="R66" s="17" t="s">
        <v>28</v>
      </c>
    </row>
    <row r="67" customFormat="false" ht="15" hidden="false" customHeight="false" outlineLevel="0" collapsed="false">
      <c r="A67" s="13" t="s">
        <v>121</v>
      </c>
      <c r="B67" s="14" t="s">
        <v>160</v>
      </c>
      <c r="C67" s="15" t="s">
        <v>161</v>
      </c>
      <c r="D67" s="14" t="s">
        <v>162</v>
      </c>
      <c r="E67" s="9" t="s">
        <v>24</v>
      </c>
      <c r="F67" s="9" t="s">
        <v>24</v>
      </c>
      <c r="G67" s="9" t="s">
        <v>24</v>
      </c>
      <c r="H67" s="9" t="s">
        <v>24</v>
      </c>
      <c r="I67" s="9" t="s">
        <v>24</v>
      </c>
      <c r="J67" s="9" t="s">
        <v>24</v>
      </c>
      <c r="K67" s="9" t="s">
        <v>24</v>
      </c>
      <c r="L67" s="9" t="s">
        <v>24</v>
      </c>
      <c r="M67" s="9" t="s">
        <v>24</v>
      </c>
      <c r="N67" s="16" t="n">
        <v>9.99</v>
      </c>
      <c r="O67" s="16" t="n">
        <v>9.66</v>
      </c>
      <c r="P67" s="10" t="n">
        <f aca="false">(O67/N67)^(1/1)-1</f>
        <v>-0.0330330330330331</v>
      </c>
      <c r="Q67" s="11" t="n">
        <f aca="false">(O67-N67)/N67</f>
        <v>-0.033033033033033</v>
      </c>
      <c r="R67" s="17" t="s">
        <v>28</v>
      </c>
    </row>
    <row r="68" customFormat="false" ht="15" hidden="false" customHeight="false" outlineLevel="0" collapsed="false">
      <c r="A68" s="23" t="s">
        <v>121</v>
      </c>
      <c r="B68" s="24" t="s">
        <v>163</v>
      </c>
      <c r="C68" s="25" t="s">
        <v>77</v>
      </c>
      <c r="D68" s="24" t="s">
        <v>162</v>
      </c>
      <c r="E68" s="9" t="s">
        <v>24</v>
      </c>
      <c r="F68" s="9" t="s">
        <v>24</v>
      </c>
      <c r="G68" s="9" t="s">
        <v>24</v>
      </c>
      <c r="H68" s="9" t="s">
        <v>24</v>
      </c>
      <c r="I68" s="9" t="s">
        <v>24</v>
      </c>
      <c r="J68" s="9" t="s">
        <v>24</v>
      </c>
      <c r="K68" s="9" t="s">
        <v>24</v>
      </c>
      <c r="L68" s="9" t="s">
        <v>24</v>
      </c>
      <c r="M68" s="9" t="s">
        <v>24</v>
      </c>
      <c r="N68" s="26" t="n">
        <v>17.49</v>
      </c>
      <c r="O68" s="26" t="n">
        <v>17.49</v>
      </c>
      <c r="P68" s="10" t="n">
        <f aca="false">(O68/N68)^(1/1)-1</f>
        <v>0</v>
      </c>
      <c r="Q68" s="11" t="n">
        <f aca="false">(O68-N68)/N68</f>
        <v>0</v>
      </c>
      <c r="R68" s="17" t="s">
        <v>28</v>
      </c>
    </row>
    <row r="69" customFormat="false" ht="15" hidden="false" customHeight="false" outlineLevel="0" collapsed="false">
      <c r="A69" s="13" t="s">
        <v>121</v>
      </c>
      <c r="B69" s="14" t="s">
        <v>164</v>
      </c>
      <c r="C69" s="15" t="s">
        <v>60</v>
      </c>
      <c r="D69" s="14" t="s">
        <v>165</v>
      </c>
      <c r="E69" s="9" t="s">
        <v>24</v>
      </c>
      <c r="F69" s="9" t="s">
        <v>24</v>
      </c>
      <c r="G69" s="9" t="s">
        <v>24</v>
      </c>
      <c r="H69" s="9" t="s">
        <v>24</v>
      </c>
      <c r="I69" s="9" t="s">
        <v>24</v>
      </c>
      <c r="J69" s="9" t="s">
        <v>24</v>
      </c>
      <c r="K69" s="9" t="s">
        <v>24</v>
      </c>
      <c r="L69" s="9" t="s">
        <v>24</v>
      </c>
      <c r="M69" s="9" t="s">
        <v>24</v>
      </c>
      <c r="N69" s="9" t="s">
        <v>24</v>
      </c>
      <c r="O69" s="16" t="n">
        <v>11.49</v>
      </c>
      <c r="P69" s="18" t="s">
        <v>24</v>
      </c>
      <c r="Q69" s="18" t="s">
        <v>24</v>
      </c>
      <c r="R69" s="17" t="s">
        <v>28</v>
      </c>
    </row>
    <row r="70" customFormat="false" ht="15" hidden="false" customHeight="false" outlineLevel="0" collapsed="false">
      <c r="A70" s="4" t="s">
        <v>166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customFormat="false" ht="15" hidden="false" customHeight="false" outlineLevel="0" collapsed="false">
      <c r="A71" s="13" t="s">
        <v>166</v>
      </c>
      <c r="B71" s="14" t="s">
        <v>167</v>
      </c>
      <c r="C71" s="15" t="s">
        <v>133</v>
      </c>
      <c r="D71" s="14" t="s">
        <v>168</v>
      </c>
      <c r="E71" s="16" t="n">
        <v>5.46</v>
      </c>
      <c r="F71" s="16" t="n">
        <v>5.69</v>
      </c>
      <c r="G71" s="16" t="n">
        <v>6.07</v>
      </c>
      <c r="H71" s="16" t="n">
        <v>6.23</v>
      </c>
      <c r="I71" s="9" t="s">
        <v>24</v>
      </c>
      <c r="J71" s="9" t="s">
        <v>24</v>
      </c>
      <c r="K71" s="9" t="s">
        <v>24</v>
      </c>
      <c r="L71" s="9" t="s">
        <v>24</v>
      </c>
      <c r="M71" s="9" t="s">
        <v>24</v>
      </c>
      <c r="N71" s="9" t="s">
        <v>24</v>
      </c>
      <c r="O71" s="9" t="s">
        <v>24</v>
      </c>
      <c r="P71" s="10" t="n">
        <f aca="false">(H71/E71)^(1/3)-1</f>
        <v>0.0449571164458864</v>
      </c>
      <c r="Q71" s="11" t="n">
        <f aca="false">(H71-E71)/E71</f>
        <v>0.141025641025641</v>
      </c>
      <c r="R71" s="12" t="s">
        <v>25</v>
      </c>
    </row>
    <row r="72" customFormat="false" ht="15" hidden="false" customHeight="false" outlineLevel="0" collapsed="false">
      <c r="A72" s="27" t="s">
        <v>166</v>
      </c>
      <c r="B72" s="28" t="s">
        <v>169</v>
      </c>
      <c r="C72" s="29" t="s">
        <v>91</v>
      </c>
      <c r="D72" s="28" t="s">
        <v>170</v>
      </c>
      <c r="E72" s="9" t="s">
        <v>24</v>
      </c>
      <c r="F72" s="30" t="n">
        <v>5.44</v>
      </c>
      <c r="G72" s="30" t="n">
        <v>5.62</v>
      </c>
      <c r="H72" s="30" t="n">
        <v>5.87</v>
      </c>
      <c r="I72" s="30" t="n">
        <v>5.87</v>
      </c>
      <c r="J72" s="30" t="n">
        <v>5.87</v>
      </c>
      <c r="K72" s="9" t="s">
        <v>24</v>
      </c>
      <c r="L72" s="9" t="s">
        <v>24</v>
      </c>
      <c r="M72" s="9" t="s">
        <v>24</v>
      </c>
      <c r="N72" s="9" t="s">
        <v>24</v>
      </c>
      <c r="O72" s="9" t="s">
        <v>24</v>
      </c>
      <c r="P72" s="10" t="n">
        <f aca="false">(J72/F72)^(1/4)-1</f>
        <v>0.0192009044458976</v>
      </c>
      <c r="Q72" s="11" t="n">
        <f aca="false">(J72-F72)/F72</f>
        <v>0.0790441176470588</v>
      </c>
      <c r="R72" s="12" t="s">
        <v>25</v>
      </c>
    </row>
    <row r="73" customFormat="false" ht="15" hidden="false" customHeight="false" outlineLevel="0" collapsed="false">
      <c r="A73" s="13" t="s">
        <v>166</v>
      </c>
      <c r="B73" s="14" t="s">
        <v>171</v>
      </c>
      <c r="C73" s="15" t="s">
        <v>172</v>
      </c>
      <c r="D73" s="14" t="s">
        <v>173</v>
      </c>
      <c r="E73" s="16" t="n">
        <v>7.72</v>
      </c>
      <c r="F73" s="16" t="n">
        <v>7.72</v>
      </c>
      <c r="G73" s="16" t="n">
        <v>7.97</v>
      </c>
      <c r="H73" s="16" t="n">
        <v>8.17</v>
      </c>
      <c r="I73" s="16" t="n">
        <v>8.17</v>
      </c>
      <c r="J73" s="16" t="n">
        <v>8.17</v>
      </c>
      <c r="K73" s="16" t="n">
        <v>8.48</v>
      </c>
      <c r="L73" s="16" t="n">
        <v>9.15</v>
      </c>
      <c r="M73" s="16" t="n">
        <v>9.3</v>
      </c>
      <c r="N73" s="16" t="n">
        <v>9.3</v>
      </c>
      <c r="O73" s="16" t="n">
        <v>7.99</v>
      </c>
      <c r="P73" s="10" t="n">
        <f aca="false">(O73/E73)^(1/10)-1</f>
        <v>0.00344355503353433</v>
      </c>
      <c r="Q73" s="11" t="n">
        <f aca="false">(O73-E73)/E73</f>
        <v>0.0349740932642488</v>
      </c>
      <c r="R73" s="17" t="s">
        <v>28</v>
      </c>
    </row>
    <row r="74" customFormat="false" ht="15" hidden="false" customHeight="false" outlineLevel="0" collapsed="false">
      <c r="A74" s="27" t="s">
        <v>166</v>
      </c>
      <c r="B74" s="28" t="s">
        <v>174</v>
      </c>
      <c r="C74" s="29" t="s">
        <v>63</v>
      </c>
      <c r="D74" s="28" t="s">
        <v>175</v>
      </c>
      <c r="E74" s="9" t="s">
        <v>24</v>
      </c>
      <c r="F74" s="9" t="s">
        <v>24</v>
      </c>
      <c r="G74" s="9" t="s">
        <v>24</v>
      </c>
      <c r="H74" s="9" t="s">
        <v>24</v>
      </c>
      <c r="I74" s="9" t="s">
        <v>24</v>
      </c>
      <c r="J74" s="9" t="s">
        <v>24</v>
      </c>
      <c r="K74" s="30" t="n">
        <v>8.48</v>
      </c>
      <c r="L74" s="30" t="n">
        <v>8.8</v>
      </c>
      <c r="M74" s="30" t="n">
        <v>9.3</v>
      </c>
      <c r="N74" s="9" t="s">
        <v>24</v>
      </c>
      <c r="O74" s="9" t="s">
        <v>24</v>
      </c>
      <c r="P74" s="10" t="n">
        <f aca="false">(M74/K74)^(1/2)-1</f>
        <v>0.0472335523690728</v>
      </c>
      <c r="Q74" s="11" t="n">
        <f aca="false">(M74-K74)/K74</f>
        <v>0.0966981132075472</v>
      </c>
      <c r="R74" s="12" t="s">
        <v>25</v>
      </c>
    </row>
    <row r="75" customFormat="false" ht="15" hidden="false" customHeight="false" outlineLevel="0" collapsed="false">
      <c r="A75" s="13" t="s">
        <v>166</v>
      </c>
      <c r="B75" s="14" t="s">
        <v>176</v>
      </c>
      <c r="C75" s="15" t="s">
        <v>63</v>
      </c>
      <c r="D75" s="14" t="s">
        <v>170</v>
      </c>
      <c r="E75" s="16" t="n">
        <v>8.82</v>
      </c>
      <c r="F75" s="16" t="n">
        <v>8.82</v>
      </c>
      <c r="G75" s="16" t="n">
        <v>8.97</v>
      </c>
      <c r="H75" s="16" t="n">
        <v>8.97</v>
      </c>
      <c r="I75" s="16" t="n">
        <v>8.97</v>
      </c>
      <c r="J75" s="16" t="n">
        <v>8.99</v>
      </c>
      <c r="K75" s="9" t="s">
        <v>24</v>
      </c>
      <c r="L75" s="9" t="s">
        <v>24</v>
      </c>
      <c r="M75" s="9" t="s">
        <v>24</v>
      </c>
      <c r="N75" s="9" t="s">
        <v>24</v>
      </c>
      <c r="O75" s="9" t="s">
        <v>24</v>
      </c>
      <c r="P75" s="10" t="n">
        <f aca="false">(J75/E75)^(1/5)-1</f>
        <v>0.00382549428833934</v>
      </c>
      <c r="Q75" s="11" t="n">
        <f aca="false">(J75-E75)/E75</f>
        <v>0.0192743764172336</v>
      </c>
      <c r="R75" s="12" t="s">
        <v>25</v>
      </c>
    </row>
    <row r="76" customFormat="false" ht="15" hidden="false" customHeight="false" outlineLevel="0" collapsed="false">
      <c r="A76" s="27" t="s">
        <v>166</v>
      </c>
      <c r="B76" s="28" t="s">
        <v>177</v>
      </c>
      <c r="C76" s="29" t="s">
        <v>63</v>
      </c>
      <c r="D76" s="28" t="s">
        <v>178</v>
      </c>
      <c r="E76" s="9" t="s">
        <v>24</v>
      </c>
      <c r="F76" s="9" t="s">
        <v>24</v>
      </c>
      <c r="G76" s="9" t="s">
        <v>24</v>
      </c>
      <c r="H76" s="9" t="s">
        <v>24</v>
      </c>
      <c r="I76" s="30" t="n">
        <v>7.98</v>
      </c>
      <c r="J76" s="30" t="n">
        <v>7.98</v>
      </c>
      <c r="K76" s="30" t="n">
        <v>7.99</v>
      </c>
      <c r="L76" s="30" t="n">
        <v>8.45</v>
      </c>
      <c r="M76" s="30" t="n">
        <v>8.45</v>
      </c>
      <c r="N76" s="30" t="n">
        <v>7.49</v>
      </c>
      <c r="O76" s="30" t="n">
        <v>7.37</v>
      </c>
      <c r="P76" s="10" t="n">
        <f aca="false">(O76/I76)^(1/6)-1</f>
        <v>-0.013166010618</v>
      </c>
      <c r="Q76" s="11" t="n">
        <f aca="false">(O76-I76)/I76</f>
        <v>-0.0764411027568923</v>
      </c>
      <c r="R76" s="17" t="s">
        <v>28</v>
      </c>
    </row>
    <row r="77" customFormat="false" ht="15" hidden="false" customHeight="false" outlineLevel="0" collapsed="false">
      <c r="A77" s="13" t="s">
        <v>166</v>
      </c>
      <c r="B77" s="14" t="s">
        <v>179</v>
      </c>
      <c r="C77" s="15" t="s">
        <v>52</v>
      </c>
      <c r="D77" s="14" t="s">
        <v>180</v>
      </c>
      <c r="E77" s="9" t="s">
        <v>24</v>
      </c>
      <c r="F77" s="9" t="s">
        <v>24</v>
      </c>
      <c r="G77" s="9" t="s">
        <v>24</v>
      </c>
      <c r="H77" s="16" t="n">
        <v>9.99</v>
      </c>
      <c r="I77" s="16" t="n">
        <v>9.99</v>
      </c>
      <c r="J77" s="16" t="n">
        <v>9.99</v>
      </c>
      <c r="K77" s="16" t="n">
        <v>9.99</v>
      </c>
      <c r="L77" s="9" t="s">
        <v>24</v>
      </c>
      <c r="M77" s="9" t="s">
        <v>24</v>
      </c>
      <c r="N77" s="9" t="s">
        <v>24</v>
      </c>
      <c r="O77" s="9" t="s">
        <v>24</v>
      </c>
      <c r="P77" s="10" t="n">
        <f aca="false">(K77/H77)^(1/3)-1</f>
        <v>0</v>
      </c>
      <c r="Q77" s="11" t="n">
        <f aca="false">(K77-H77)/H77</f>
        <v>0</v>
      </c>
      <c r="R77" s="12" t="s">
        <v>25</v>
      </c>
    </row>
    <row r="78" customFormat="false" ht="15" hidden="false" customHeight="false" outlineLevel="0" collapsed="false">
      <c r="A78" s="27" t="s">
        <v>166</v>
      </c>
      <c r="B78" s="28" t="s">
        <v>181</v>
      </c>
      <c r="C78" s="29" t="s">
        <v>60</v>
      </c>
      <c r="D78" s="28" t="s">
        <v>182</v>
      </c>
      <c r="E78" s="30" t="n">
        <v>9.4</v>
      </c>
      <c r="F78" s="30" t="n">
        <v>9.8</v>
      </c>
      <c r="G78" s="30" t="n">
        <v>10.3</v>
      </c>
      <c r="H78" s="30" t="n">
        <v>10.99</v>
      </c>
      <c r="I78" s="30" t="n">
        <v>11.55</v>
      </c>
      <c r="J78" s="30" t="n">
        <v>12.3</v>
      </c>
      <c r="K78" s="30" t="n">
        <v>12.3</v>
      </c>
      <c r="L78" s="30" t="n">
        <v>12.68</v>
      </c>
      <c r="M78" s="30" t="n">
        <v>12.98</v>
      </c>
      <c r="N78" s="30" t="n">
        <v>12.98</v>
      </c>
      <c r="O78" s="30" t="n">
        <v>12.98</v>
      </c>
      <c r="P78" s="10" t="n">
        <f aca="false">(O78/E78)^(1/10)-1</f>
        <v>0.0327963249423517</v>
      </c>
      <c r="Q78" s="11" t="n">
        <f aca="false">(O78-E78)/E78</f>
        <v>0.380851063829787</v>
      </c>
      <c r="R78" s="17" t="s">
        <v>28</v>
      </c>
    </row>
    <row r="79" customFormat="false" ht="15" hidden="false" customHeight="false" outlineLevel="0" collapsed="false">
      <c r="A79" s="13" t="s">
        <v>166</v>
      </c>
      <c r="B79" s="14" t="s">
        <v>183</v>
      </c>
      <c r="C79" s="15" t="s">
        <v>60</v>
      </c>
      <c r="D79" s="14" t="s">
        <v>184</v>
      </c>
      <c r="E79" s="9" t="s">
        <v>24</v>
      </c>
      <c r="F79" s="9" t="s">
        <v>24</v>
      </c>
      <c r="G79" s="9" t="s">
        <v>24</v>
      </c>
      <c r="H79" s="9" t="s">
        <v>24</v>
      </c>
      <c r="I79" s="9" t="s">
        <v>24</v>
      </c>
      <c r="J79" s="9" t="s">
        <v>24</v>
      </c>
      <c r="K79" s="9" t="s">
        <v>24</v>
      </c>
      <c r="L79" s="16" t="n">
        <v>11.99</v>
      </c>
      <c r="M79" s="16" t="n">
        <v>13.49</v>
      </c>
      <c r="N79" s="16" t="n">
        <v>13.49</v>
      </c>
      <c r="O79" s="16" t="n">
        <v>13.49</v>
      </c>
      <c r="P79" s="10" t="n">
        <f aca="false">(O79/L79)^(1/3)-1</f>
        <v>0.0400740373649644</v>
      </c>
      <c r="Q79" s="11" t="n">
        <f aca="false">(O79-L79)/L79</f>
        <v>0.125104253544621</v>
      </c>
      <c r="R79" s="17" t="s">
        <v>28</v>
      </c>
    </row>
    <row r="80" customFormat="false" ht="15" hidden="false" customHeight="false" outlineLevel="0" collapsed="false">
      <c r="A80" s="27" t="s">
        <v>166</v>
      </c>
      <c r="B80" s="28" t="s">
        <v>185</v>
      </c>
      <c r="C80" s="29" t="s">
        <v>74</v>
      </c>
      <c r="D80" s="28" t="s">
        <v>186</v>
      </c>
      <c r="E80" s="30" t="n">
        <v>6.87</v>
      </c>
      <c r="F80" s="30" t="n">
        <v>7.05</v>
      </c>
      <c r="G80" s="30" t="n">
        <v>7.15</v>
      </c>
      <c r="H80" s="30" t="n">
        <v>7.55</v>
      </c>
      <c r="I80" s="30" t="n">
        <v>8.09</v>
      </c>
      <c r="J80" s="30" t="n">
        <v>9.8</v>
      </c>
      <c r="K80" s="30" t="n">
        <v>9.8</v>
      </c>
      <c r="L80" s="30" t="n">
        <v>10.52</v>
      </c>
      <c r="M80" s="30" t="n">
        <v>10.52</v>
      </c>
      <c r="N80" s="30" t="n">
        <v>10.52</v>
      </c>
      <c r="O80" s="30" t="n">
        <v>9.99</v>
      </c>
      <c r="P80" s="10" t="n">
        <f aca="false">(O80/E80)^(1/10)-1</f>
        <v>0.0381518330306574</v>
      </c>
      <c r="Q80" s="11" t="n">
        <f aca="false">(O80-E80)/E80</f>
        <v>0.454148471615721</v>
      </c>
      <c r="R80" s="17" t="s">
        <v>28</v>
      </c>
    </row>
    <row r="81" customFormat="false" ht="15" hidden="false" customHeight="false" outlineLevel="0" collapsed="false">
      <c r="A81" s="13" t="s">
        <v>166</v>
      </c>
      <c r="B81" s="14" t="s">
        <v>187</v>
      </c>
      <c r="C81" s="15" t="s">
        <v>60</v>
      </c>
      <c r="D81" s="14" t="s">
        <v>188</v>
      </c>
      <c r="E81" s="9" t="s">
        <v>24</v>
      </c>
      <c r="F81" s="9" t="s">
        <v>24</v>
      </c>
      <c r="G81" s="9" t="s">
        <v>24</v>
      </c>
      <c r="H81" s="9" t="s">
        <v>24</v>
      </c>
      <c r="I81" s="9" t="s">
        <v>24</v>
      </c>
      <c r="J81" s="9" t="s">
        <v>24</v>
      </c>
      <c r="K81" s="9" t="s">
        <v>24</v>
      </c>
      <c r="L81" s="9" t="s">
        <v>24</v>
      </c>
      <c r="M81" s="9" t="s">
        <v>24</v>
      </c>
      <c r="N81" s="16" t="n">
        <v>12.99</v>
      </c>
      <c r="O81" s="16" t="n">
        <v>12.39</v>
      </c>
      <c r="P81" s="10" t="n">
        <f aca="false">(O81/N81)^(1/1)-1</f>
        <v>-0.046189376443418</v>
      </c>
      <c r="Q81" s="11" t="n">
        <f aca="false">(O81-N81)/N81</f>
        <v>-0.046189376443418</v>
      </c>
      <c r="R81" s="17" t="s">
        <v>28</v>
      </c>
    </row>
    <row r="82" customFormat="false" ht="15" hidden="false" customHeight="false" outlineLevel="0" collapsed="false">
      <c r="A82" s="27" t="s">
        <v>166</v>
      </c>
      <c r="B82" s="28" t="s">
        <v>189</v>
      </c>
      <c r="C82" s="29" t="s">
        <v>115</v>
      </c>
      <c r="D82" s="28" t="s">
        <v>190</v>
      </c>
      <c r="E82" s="30" t="n">
        <v>12</v>
      </c>
      <c r="F82" s="30" t="n">
        <v>12.39</v>
      </c>
      <c r="G82" s="30" t="n">
        <v>12.6</v>
      </c>
      <c r="H82" s="30" t="n">
        <v>12.99</v>
      </c>
      <c r="I82" s="30" t="n">
        <v>13.58</v>
      </c>
      <c r="J82" s="30" t="n">
        <v>13.83</v>
      </c>
      <c r="K82" s="9" t="s">
        <v>24</v>
      </c>
      <c r="L82" s="9" t="s">
        <v>24</v>
      </c>
      <c r="M82" s="9" t="s">
        <v>24</v>
      </c>
      <c r="N82" s="9" t="s">
        <v>24</v>
      </c>
      <c r="O82" s="9" t="s">
        <v>24</v>
      </c>
      <c r="P82" s="10" t="n">
        <f aca="false">(J82/E82)^(1/5)-1</f>
        <v>0.0287934410881068</v>
      </c>
      <c r="Q82" s="11" t="n">
        <f aca="false">(J82-E82)/E82</f>
        <v>0.1525</v>
      </c>
      <c r="R82" s="12" t="s">
        <v>25</v>
      </c>
    </row>
    <row r="83" customFormat="false" ht="15" hidden="false" customHeight="false" outlineLevel="0" collapsed="false">
      <c r="A83" s="13" t="s">
        <v>166</v>
      </c>
      <c r="B83" s="14" t="s">
        <v>191</v>
      </c>
      <c r="C83" s="15" t="s">
        <v>115</v>
      </c>
      <c r="D83" s="14" t="s">
        <v>192</v>
      </c>
      <c r="E83" s="9" t="s">
        <v>24</v>
      </c>
      <c r="F83" s="9" t="s">
        <v>24</v>
      </c>
      <c r="G83" s="9" t="s">
        <v>24</v>
      </c>
      <c r="H83" s="9" t="s">
        <v>24</v>
      </c>
      <c r="I83" s="9" t="s">
        <v>24</v>
      </c>
      <c r="J83" s="9" t="s">
        <v>24</v>
      </c>
      <c r="K83" s="16" t="n">
        <v>13.18</v>
      </c>
      <c r="L83" s="16" t="n">
        <v>13.18</v>
      </c>
      <c r="M83" s="16" t="n">
        <v>13.66</v>
      </c>
      <c r="N83" s="16" t="n">
        <v>13.66</v>
      </c>
      <c r="O83" s="16" t="n">
        <v>13.66</v>
      </c>
      <c r="P83" s="10" t="n">
        <f aca="false">(O83/K83)^(1/4)-1</f>
        <v>0.00898293784892101</v>
      </c>
      <c r="Q83" s="11" t="n">
        <f aca="false">(O83-K83)/K83</f>
        <v>0.0364188163884674</v>
      </c>
      <c r="R83" s="17" t="s">
        <v>28</v>
      </c>
    </row>
    <row r="84" customFormat="false" ht="15" hidden="false" customHeight="false" outlineLevel="0" collapsed="false">
      <c r="A84" s="27" t="s">
        <v>166</v>
      </c>
      <c r="B84" s="28" t="s">
        <v>193</v>
      </c>
      <c r="C84" s="29" t="s">
        <v>77</v>
      </c>
      <c r="D84" s="28" t="s">
        <v>194</v>
      </c>
      <c r="E84" s="9" t="s">
        <v>24</v>
      </c>
      <c r="F84" s="9" t="s">
        <v>24</v>
      </c>
      <c r="G84" s="9" t="s">
        <v>24</v>
      </c>
      <c r="H84" s="9" t="s">
        <v>24</v>
      </c>
      <c r="I84" s="9" t="s">
        <v>24</v>
      </c>
      <c r="J84" s="9" t="s">
        <v>24</v>
      </c>
      <c r="K84" s="9" t="s">
        <v>24</v>
      </c>
      <c r="L84" s="9" t="s">
        <v>24</v>
      </c>
      <c r="M84" s="30" t="n">
        <v>15.99</v>
      </c>
      <c r="N84" s="30" t="n">
        <v>15.99</v>
      </c>
      <c r="O84" s="30" t="n">
        <v>15.99</v>
      </c>
      <c r="P84" s="10" t="n">
        <f aca="false">(O84/M84)^(1/2)-1</f>
        <v>0</v>
      </c>
      <c r="Q84" s="11" t="n">
        <f aca="false">(O84-M84)/M84</f>
        <v>0</v>
      </c>
      <c r="R84" s="17" t="s">
        <v>28</v>
      </c>
    </row>
    <row r="85" customFormat="false" ht="15" hidden="false" customHeight="false" outlineLevel="0" collapsed="false">
      <c r="A85" s="13" t="s">
        <v>166</v>
      </c>
      <c r="B85" s="14" t="s">
        <v>195</v>
      </c>
      <c r="C85" s="15" t="s">
        <v>77</v>
      </c>
      <c r="D85" s="14" t="s">
        <v>196</v>
      </c>
      <c r="E85" s="9" t="s">
        <v>24</v>
      </c>
      <c r="F85" s="9" t="s">
        <v>24</v>
      </c>
      <c r="G85" s="9" t="s">
        <v>24</v>
      </c>
      <c r="H85" s="9" t="s">
        <v>24</v>
      </c>
      <c r="I85" s="9" t="s">
        <v>24</v>
      </c>
      <c r="J85" s="9" t="s">
        <v>24</v>
      </c>
      <c r="K85" s="9" t="s">
        <v>24</v>
      </c>
      <c r="L85" s="9" t="s">
        <v>24</v>
      </c>
      <c r="M85" s="9" t="s">
        <v>24</v>
      </c>
      <c r="N85" s="9" t="s">
        <v>24</v>
      </c>
      <c r="O85" s="16" t="n">
        <v>18.9</v>
      </c>
      <c r="P85" s="18" t="s">
        <v>24</v>
      </c>
      <c r="Q85" s="18" t="s">
        <v>24</v>
      </c>
      <c r="R85" s="17" t="s">
        <v>28</v>
      </c>
    </row>
    <row r="86" customFormat="false" ht="15" hidden="false" customHeight="false" outlineLevel="0" collapsed="false">
      <c r="A86" s="27" t="s">
        <v>166</v>
      </c>
      <c r="B86" s="28" t="s">
        <v>197</v>
      </c>
      <c r="C86" s="29" t="s">
        <v>77</v>
      </c>
      <c r="D86" s="28" t="s">
        <v>196</v>
      </c>
      <c r="E86" s="9" t="s">
        <v>24</v>
      </c>
      <c r="F86" s="9" t="s">
        <v>24</v>
      </c>
      <c r="G86" s="9" t="s">
        <v>24</v>
      </c>
      <c r="H86" s="9" t="s">
        <v>24</v>
      </c>
      <c r="I86" s="9" t="s">
        <v>24</v>
      </c>
      <c r="J86" s="9" t="s">
        <v>24</v>
      </c>
      <c r="K86" s="9" t="s">
        <v>24</v>
      </c>
      <c r="L86" s="9" t="s">
        <v>24</v>
      </c>
      <c r="M86" s="9" t="s">
        <v>24</v>
      </c>
      <c r="N86" s="9" t="s">
        <v>24</v>
      </c>
      <c r="O86" s="30" t="n">
        <v>21.9</v>
      </c>
      <c r="P86" s="18" t="s">
        <v>24</v>
      </c>
      <c r="Q86" s="18" t="s">
        <v>24</v>
      </c>
      <c r="R86" s="17" t="s">
        <v>28</v>
      </c>
    </row>
    <row r="87" customFormat="false" ht="15" hidden="false" customHeight="false" outlineLevel="0" collapsed="false">
      <c r="A87" s="4" t="s">
        <v>198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customFormat="false" ht="15" hidden="false" customHeight="false" outlineLevel="0" collapsed="false">
      <c r="A88" s="31" t="s">
        <v>198</v>
      </c>
      <c r="B88" s="32" t="s">
        <v>199</v>
      </c>
      <c r="C88" s="33" t="s">
        <v>60</v>
      </c>
      <c r="D88" s="32" t="s">
        <v>85</v>
      </c>
      <c r="E88" s="9" t="s">
        <v>24</v>
      </c>
      <c r="F88" s="9" t="s">
        <v>24</v>
      </c>
      <c r="G88" s="9" t="s">
        <v>24</v>
      </c>
      <c r="H88" s="9" t="s">
        <v>24</v>
      </c>
      <c r="I88" s="34" t="n">
        <v>9.89</v>
      </c>
      <c r="J88" s="34" t="n">
        <v>9.89</v>
      </c>
      <c r="K88" s="34" t="n">
        <v>9.89</v>
      </c>
      <c r="L88" s="34" t="n">
        <v>10.89</v>
      </c>
      <c r="M88" s="34" t="n">
        <v>10.89</v>
      </c>
      <c r="N88" s="34" t="n">
        <v>10.99</v>
      </c>
      <c r="O88" s="34" t="n">
        <v>10.99</v>
      </c>
      <c r="P88" s="10" t="n">
        <f aca="false">(O88/I88)^(1/6)-1</f>
        <v>0.0177323205427014</v>
      </c>
      <c r="Q88" s="11" t="n">
        <f aca="false">(O88-I88)/I88</f>
        <v>0.111223458038423</v>
      </c>
      <c r="R88" s="17" t="s">
        <v>28</v>
      </c>
    </row>
    <row r="89" customFormat="false" ht="15" hidden="false" customHeight="false" outlineLevel="0" collapsed="false">
      <c r="A89" s="13" t="s">
        <v>198</v>
      </c>
      <c r="B89" s="14" t="s">
        <v>200</v>
      </c>
      <c r="C89" s="15" t="s">
        <v>63</v>
      </c>
      <c r="D89" s="14" t="s">
        <v>201</v>
      </c>
      <c r="E89" s="9" t="s">
        <v>24</v>
      </c>
      <c r="F89" s="9" t="s">
        <v>24</v>
      </c>
      <c r="G89" s="9" t="s">
        <v>24</v>
      </c>
      <c r="H89" s="9" t="s">
        <v>24</v>
      </c>
      <c r="I89" s="9" t="s">
        <v>24</v>
      </c>
      <c r="J89" s="16" t="n">
        <v>6.79</v>
      </c>
      <c r="K89" s="16" t="n">
        <v>6.79</v>
      </c>
      <c r="L89" s="16" t="n">
        <v>7.65</v>
      </c>
      <c r="M89" s="16" t="n">
        <v>7.99</v>
      </c>
      <c r="N89" s="16" t="n">
        <v>7.99</v>
      </c>
      <c r="O89" s="16" t="n">
        <v>7.99</v>
      </c>
      <c r="P89" s="10" t="n">
        <f aca="false">(O89/J89)^(1/5)-1</f>
        <v>0.0330834423995687</v>
      </c>
      <c r="Q89" s="11" t="n">
        <f aca="false">(O89-J89)/J89</f>
        <v>0.176730486008837</v>
      </c>
      <c r="R89" s="17" t="s">
        <v>28</v>
      </c>
    </row>
    <row r="90" customFormat="false" ht="15" hidden="false" customHeight="false" outlineLevel="0" collapsed="false">
      <c r="A90" s="31" t="s">
        <v>198</v>
      </c>
      <c r="B90" s="32" t="s">
        <v>202</v>
      </c>
      <c r="C90" s="33" t="s">
        <v>52</v>
      </c>
      <c r="D90" s="32" t="s">
        <v>120</v>
      </c>
      <c r="E90" s="9" t="s">
        <v>24</v>
      </c>
      <c r="F90" s="9" t="s">
        <v>24</v>
      </c>
      <c r="G90" s="9" t="s">
        <v>24</v>
      </c>
      <c r="H90" s="9" t="s">
        <v>24</v>
      </c>
      <c r="I90" s="9" t="s">
        <v>24</v>
      </c>
      <c r="J90" s="9" t="s">
        <v>24</v>
      </c>
      <c r="K90" s="9" t="s">
        <v>24</v>
      </c>
      <c r="L90" s="34" t="n">
        <v>9.99</v>
      </c>
      <c r="M90" s="34" t="n">
        <v>9.99</v>
      </c>
      <c r="N90" s="34" t="n">
        <v>10.49</v>
      </c>
      <c r="O90" s="34" t="n">
        <v>10.49</v>
      </c>
      <c r="P90" s="10" t="n">
        <f aca="false">(O90/L90)^(1/3)-1</f>
        <v>0.0164125059831934</v>
      </c>
      <c r="Q90" s="11" t="n">
        <f aca="false">(O90-L90)/L90</f>
        <v>0.05005005005005</v>
      </c>
      <c r="R90" s="17" t="s">
        <v>28</v>
      </c>
    </row>
    <row r="91" customFormat="false" ht="15" hidden="false" customHeight="false" outlineLevel="0" collapsed="false">
      <c r="A91" s="13" t="s">
        <v>198</v>
      </c>
      <c r="B91" s="14" t="s">
        <v>203</v>
      </c>
      <c r="C91" s="15" t="s">
        <v>77</v>
      </c>
      <c r="D91" s="14" t="s">
        <v>204</v>
      </c>
      <c r="E91" s="9" t="s">
        <v>24</v>
      </c>
      <c r="F91" s="9" t="s">
        <v>24</v>
      </c>
      <c r="G91" s="9" t="s">
        <v>24</v>
      </c>
      <c r="H91" s="9" t="s">
        <v>24</v>
      </c>
      <c r="I91" s="9" t="s">
        <v>24</v>
      </c>
      <c r="J91" s="9" t="s">
        <v>24</v>
      </c>
      <c r="K91" s="9" t="s">
        <v>24</v>
      </c>
      <c r="L91" s="16" t="n">
        <v>59.95</v>
      </c>
      <c r="M91" s="16" t="n">
        <v>59.95</v>
      </c>
      <c r="N91" s="16" t="n">
        <v>60.97</v>
      </c>
      <c r="O91" s="16" t="n">
        <v>60.97</v>
      </c>
      <c r="P91" s="10" t="n">
        <f aca="false">(O91/L91)^(1/3)-1</f>
        <v>0.0056395287557105</v>
      </c>
      <c r="Q91" s="11" t="n">
        <f aca="false">(O91-L91)/L91</f>
        <v>0.0170141784820683</v>
      </c>
      <c r="R91" s="17" t="s">
        <v>28</v>
      </c>
    </row>
    <row r="92" customFormat="false" ht="15" hidden="false" customHeight="false" outlineLevel="0" collapsed="false">
      <c r="A92" s="31" t="s">
        <v>198</v>
      </c>
      <c r="B92" s="32" t="s">
        <v>205</v>
      </c>
      <c r="C92" s="33" t="s">
        <v>63</v>
      </c>
      <c r="D92" s="32" t="s">
        <v>206</v>
      </c>
      <c r="E92" s="9" t="s">
        <v>24</v>
      </c>
      <c r="F92" s="9" t="s">
        <v>24</v>
      </c>
      <c r="G92" s="9" t="s">
        <v>24</v>
      </c>
      <c r="H92" s="9" t="s">
        <v>24</v>
      </c>
      <c r="I92" s="9" t="s">
        <v>24</v>
      </c>
      <c r="J92" s="9" t="s">
        <v>24</v>
      </c>
      <c r="K92" s="9" t="s">
        <v>24</v>
      </c>
      <c r="L92" s="9" t="s">
        <v>24</v>
      </c>
      <c r="M92" s="9" t="s">
        <v>24</v>
      </c>
      <c r="N92" s="9" t="s">
        <v>24</v>
      </c>
      <c r="O92" s="34" t="n">
        <v>8.99</v>
      </c>
      <c r="P92" s="18" t="s">
        <v>24</v>
      </c>
      <c r="Q92" s="18" t="s">
        <v>24</v>
      </c>
      <c r="R92" s="17" t="s">
        <v>28</v>
      </c>
    </row>
    <row r="93" customFormat="false" ht="15" hidden="false" customHeight="false" outlineLevel="0" collapsed="false">
      <c r="A93" s="4" t="s">
        <v>207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customFormat="false" ht="15" hidden="false" customHeight="false" outlineLevel="0" collapsed="false">
      <c r="A94" s="35" t="s">
        <v>207</v>
      </c>
      <c r="B94" s="36" t="s">
        <v>208</v>
      </c>
      <c r="C94" s="37" t="s">
        <v>32</v>
      </c>
      <c r="D94" s="36" t="s">
        <v>209</v>
      </c>
      <c r="E94" s="38" t="n">
        <v>5.43</v>
      </c>
      <c r="F94" s="38" t="n">
        <v>5.65</v>
      </c>
      <c r="G94" s="38" t="n">
        <v>5.73</v>
      </c>
      <c r="H94" s="38" t="n">
        <v>5.79</v>
      </c>
      <c r="I94" s="38" t="n">
        <v>5.9</v>
      </c>
      <c r="J94" s="9" t="s">
        <v>24</v>
      </c>
      <c r="K94" s="9" t="s">
        <v>24</v>
      </c>
      <c r="L94" s="9" t="s">
        <v>24</v>
      </c>
      <c r="M94" s="9" t="s">
        <v>24</v>
      </c>
      <c r="N94" s="9" t="s">
        <v>24</v>
      </c>
      <c r="O94" s="9" t="s">
        <v>24</v>
      </c>
      <c r="P94" s="10" t="n">
        <f aca="false">(I94/E94)^(1/4)-1</f>
        <v>0.0209701515614773</v>
      </c>
      <c r="Q94" s="11" t="n">
        <f aca="false">(I94-E94)/E94</f>
        <v>0.0865561694290977</v>
      </c>
      <c r="R94" s="12" t="s">
        <v>25</v>
      </c>
    </row>
    <row r="95" customFormat="false" ht="15" hidden="false" customHeight="false" outlineLevel="0" collapsed="false">
      <c r="A95" s="13" t="s">
        <v>207</v>
      </c>
      <c r="B95" s="14" t="s">
        <v>210</v>
      </c>
      <c r="C95" s="15" t="s">
        <v>46</v>
      </c>
      <c r="D95" s="14" t="s">
        <v>209</v>
      </c>
      <c r="E95" s="16" t="n">
        <v>5.73</v>
      </c>
      <c r="F95" s="16" t="n">
        <v>5.98</v>
      </c>
      <c r="G95" s="16" t="n">
        <v>6.16</v>
      </c>
      <c r="H95" s="16" t="n">
        <v>6.39</v>
      </c>
      <c r="I95" s="16" t="n">
        <v>6.51</v>
      </c>
      <c r="J95" s="9" t="s">
        <v>24</v>
      </c>
      <c r="K95" s="9" t="s">
        <v>24</v>
      </c>
      <c r="L95" s="9" t="s">
        <v>24</v>
      </c>
      <c r="M95" s="9" t="s">
        <v>24</v>
      </c>
      <c r="N95" s="9" t="s">
        <v>24</v>
      </c>
      <c r="O95" s="9" t="s">
        <v>24</v>
      </c>
      <c r="P95" s="10" t="n">
        <f aca="false">(I95/E95)^(1/4)-1</f>
        <v>0.0324204339907157</v>
      </c>
      <c r="Q95" s="11" t="n">
        <f aca="false">(I95-E95)/E95</f>
        <v>0.136125654450262</v>
      </c>
      <c r="R95" s="12" t="s">
        <v>25</v>
      </c>
    </row>
    <row r="96" customFormat="false" ht="15" hidden="false" customHeight="false" outlineLevel="0" collapsed="false">
      <c r="A96" s="35" t="s">
        <v>207</v>
      </c>
      <c r="B96" s="36" t="s">
        <v>211</v>
      </c>
      <c r="C96" s="37" t="s">
        <v>43</v>
      </c>
      <c r="D96" s="36" t="s">
        <v>212</v>
      </c>
      <c r="E96" s="9" t="s">
        <v>24</v>
      </c>
      <c r="F96" s="9" t="s">
        <v>24</v>
      </c>
      <c r="G96" s="9" t="s">
        <v>24</v>
      </c>
      <c r="H96" s="9" t="s">
        <v>24</v>
      </c>
      <c r="I96" s="38" t="n">
        <v>7.17</v>
      </c>
      <c r="J96" s="38" t="n">
        <v>7.22</v>
      </c>
      <c r="K96" s="38" t="n">
        <v>7.22</v>
      </c>
      <c r="L96" s="38" t="n">
        <v>7.22</v>
      </c>
      <c r="M96" s="38" t="n">
        <v>7.84</v>
      </c>
      <c r="N96" s="9" t="s">
        <v>24</v>
      </c>
      <c r="O96" s="9" t="s">
        <v>24</v>
      </c>
      <c r="P96" s="10" t="n">
        <f aca="false">(M96/I96)^(1/4)-1</f>
        <v>0.0225845499334416</v>
      </c>
      <c r="Q96" s="11" t="n">
        <f aca="false">(M96-I96)/I96</f>
        <v>0.0934449093444909</v>
      </c>
      <c r="R96" s="12" t="s">
        <v>25</v>
      </c>
    </row>
    <row r="97" customFormat="false" ht="15" hidden="false" customHeight="false" outlineLevel="0" collapsed="false">
      <c r="A97" s="13" t="s">
        <v>207</v>
      </c>
      <c r="B97" s="14" t="s">
        <v>213</v>
      </c>
      <c r="C97" s="15" t="s">
        <v>52</v>
      </c>
      <c r="D97" s="14" t="s">
        <v>214</v>
      </c>
      <c r="E97" s="9" t="s">
        <v>24</v>
      </c>
      <c r="F97" s="9" t="s">
        <v>24</v>
      </c>
      <c r="G97" s="9" t="s">
        <v>24</v>
      </c>
      <c r="H97" s="9" t="s">
        <v>24</v>
      </c>
      <c r="I97" s="9" t="s">
        <v>24</v>
      </c>
      <c r="J97" s="9" t="s">
        <v>24</v>
      </c>
      <c r="K97" s="9" t="s">
        <v>24</v>
      </c>
      <c r="L97" s="9" t="s">
        <v>24</v>
      </c>
      <c r="M97" s="16" t="n">
        <v>9.5</v>
      </c>
      <c r="N97" s="16" t="n">
        <v>9.79</v>
      </c>
      <c r="O97" s="16" t="n">
        <v>9.79</v>
      </c>
      <c r="P97" s="10" t="n">
        <f aca="false">(O97/M97)^(1/2)-1</f>
        <v>0.0151484205718262</v>
      </c>
      <c r="Q97" s="11" t="n">
        <f aca="false">(O97-M97)/M97</f>
        <v>0.0305263157894736</v>
      </c>
      <c r="R97" s="17" t="s">
        <v>28</v>
      </c>
    </row>
    <row r="98" customFormat="false" ht="15" hidden="false" customHeight="false" outlineLevel="0" collapsed="false">
      <c r="A98" s="35" t="s">
        <v>207</v>
      </c>
      <c r="B98" s="36" t="s">
        <v>215</v>
      </c>
      <c r="C98" s="37" t="s">
        <v>63</v>
      </c>
      <c r="D98" s="36" t="s">
        <v>216</v>
      </c>
      <c r="E98" s="9" t="s">
        <v>24</v>
      </c>
      <c r="F98" s="9" t="s">
        <v>24</v>
      </c>
      <c r="G98" s="9" t="s">
        <v>24</v>
      </c>
      <c r="H98" s="9" t="s">
        <v>24</v>
      </c>
      <c r="I98" s="9" t="s">
        <v>24</v>
      </c>
      <c r="J98" s="9" t="s">
        <v>24</v>
      </c>
      <c r="K98" s="38" t="n">
        <v>8.4</v>
      </c>
      <c r="L98" s="9" t="s">
        <v>24</v>
      </c>
      <c r="M98" s="9" t="s">
        <v>24</v>
      </c>
      <c r="N98" s="9" t="s">
        <v>24</v>
      </c>
      <c r="O98" s="9" t="s">
        <v>24</v>
      </c>
      <c r="P98" s="18" t="s">
        <v>24</v>
      </c>
      <c r="Q98" s="18" t="s">
        <v>24</v>
      </c>
      <c r="R98" s="12" t="s">
        <v>25</v>
      </c>
    </row>
    <row r="99" customFormat="false" ht="15" hidden="false" customHeight="false" outlineLevel="0" collapsed="false">
      <c r="A99" s="13" t="s">
        <v>207</v>
      </c>
      <c r="B99" s="14" t="s">
        <v>217</v>
      </c>
      <c r="C99" s="15" t="s">
        <v>60</v>
      </c>
      <c r="D99" s="14" t="s">
        <v>218</v>
      </c>
      <c r="E99" s="9" t="s">
        <v>24</v>
      </c>
      <c r="F99" s="9" t="s">
        <v>24</v>
      </c>
      <c r="G99" s="9" t="s">
        <v>24</v>
      </c>
      <c r="H99" s="9" t="s">
        <v>24</v>
      </c>
      <c r="I99" s="9" t="s">
        <v>24</v>
      </c>
      <c r="J99" s="9" t="s">
        <v>24</v>
      </c>
      <c r="K99" s="9" t="s">
        <v>24</v>
      </c>
      <c r="L99" s="16" t="n">
        <v>10.48</v>
      </c>
      <c r="M99" s="16" t="n">
        <v>10.48</v>
      </c>
      <c r="N99" s="16" t="n">
        <v>11.09</v>
      </c>
      <c r="O99" s="16" t="n">
        <v>11.09</v>
      </c>
      <c r="P99" s="10" t="n">
        <f aca="false">(O99/L99)^(1/3)-1</f>
        <v>0.0190373163775308</v>
      </c>
      <c r="Q99" s="11" t="n">
        <f aca="false">(O99-L99)/L99</f>
        <v>0.058206106870229</v>
      </c>
      <c r="R99" s="17" t="s">
        <v>28</v>
      </c>
    </row>
    <row r="100" customFormat="false" ht="15" hidden="false" customHeight="false" outlineLevel="0" collapsed="false">
      <c r="A100" s="35" t="s">
        <v>207</v>
      </c>
      <c r="B100" s="36" t="s">
        <v>219</v>
      </c>
      <c r="C100" s="37" t="s">
        <v>52</v>
      </c>
      <c r="D100" s="36" t="s">
        <v>220</v>
      </c>
      <c r="E100" s="9" t="s">
        <v>24</v>
      </c>
      <c r="F100" s="38" t="n">
        <v>13.83</v>
      </c>
      <c r="G100" s="38" t="n">
        <v>13.83</v>
      </c>
      <c r="H100" s="38" t="n">
        <v>14.56</v>
      </c>
      <c r="I100" s="38" t="n">
        <v>14.88</v>
      </c>
      <c r="J100" s="38" t="n">
        <v>15.12</v>
      </c>
      <c r="K100" s="38" t="n">
        <v>16.52</v>
      </c>
      <c r="L100" s="38" t="n">
        <v>18.4</v>
      </c>
      <c r="M100" s="38" t="n">
        <v>19.99</v>
      </c>
      <c r="N100" s="38" t="n">
        <v>21.25</v>
      </c>
      <c r="O100" s="38" t="n">
        <v>22.5</v>
      </c>
      <c r="P100" s="10" t="n">
        <f aca="false">(O100/F100)^(1/9)-1</f>
        <v>0.0555637856488951</v>
      </c>
      <c r="Q100" s="11" t="n">
        <f aca="false">(O100-F100)/F100</f>
        <v>0.626898047722343</v>
      </c>
      <c r="R100" s="17" t="s">
        <v>28</v>
      </c>
    </row>
    <row r="101" customFormat="false" ht="15" hidden="false" customHeight="false" outlineLevel="0" collapsed="false">
      <c r="A101" s="13" t="s">
        <v>207</v>
      </c>
      <c r="B101" s="14" t="s">
        <v>221</v>
      </c>
      <c r="C101" s="15" t="s">
        <v>52</v>
      </c>
      <c r="D101" s="14" t="s">
        <v>222</v>
      </c>
      <c r="E101" s="9" t="s">
        <v>24</v>
      </c>
      <c r="F101" s="9" t="s">
        <v>24</v>
      </c>
      <c r="G101" s="9" t="s">
        <v>24</v>
      </c>
      <c r="H101" s="9" t="s">
        <v>24</v>
      </c>
      <c r="I101" s="9" t="s">
        <v>24</v>
      </c>
      <c r="J101" s="9" t="s">
        <v>24</v>
      </c>
      <c r="K101" s="9" t="s">
        <v>24</v>
      </c>
      <c r="L101" s="9" t="s">
        <v>24</v>
      </c>
      <c r="M101" s="16" t="n">
        <v>18.3</v>
      </c>
      <c r="N101" s="16" t="n">
        <v>19.77</v>
      </c>
      <c r="O101" s="16" t="n">
        <v>19.99</v>
      </c>
      <c r="P101" s="10" t="n">
        <f aca="false">(O101/M101)^(1/2)-1</f>
        <v>0.0451553601144454</v>
      </c>
      <c r="Q101" s="11" t="n">
        <f aca="false">(O101-M101)/M101</f>
        <v>0.0923497267759562</v>
      </c>
      <c r="R101" s="17" t="s">
        <v>28</v>
      </c>
    </row>
    <row r="102" customFormat="false" ht="15" hidden="false" customHeight="false" outlineLevel="0" collapsed="false">
      <c r="A102" s="35" t="s">
        <v>207</v>
      </c>
      <c r="B102" s="36" t="s">
        <v>223</v>
      </c>
      <c r="C102" s="37" t="s">
        <v>224</v>
      </c>
      <c r="D102" s="36" t="s">
        <v>225</v>
      </c>
      <c r="E102" s="38" t="n">
        <v>22.86</v>
      </c>
      <c r="F102" s="38" t="n">
        <v>24.08</v>
      </c>
      <c r="G102" s="38" t="n">
        <v>25.52</v>
      </c>
      <c r="H102" s="38" t="n">
        <v>27.83</v>
      </c>
      <c r="I102" s="38" t="n">
        <v>28.02</v>
      </c>
      <c r="J102" s="38" t="n">
        <v>28.64</v>
      </c>
      <c r="K102" s="38" t="n">
        <v>30.54</v>
      </c>
      <c r="L102" s="38" t="n">
        <v>33.6</v>
      </c>
      <c r="M102" s="38" t="n">
        <v>37.15</v>
      </c>
      <c r="N102" s="38" t="n">
        <v>40</v>
      </c>
      <c r="O102" s="38" t="n">
        <v>42.5</v>
      </c>
      <c r="P102" s="10" t="n">
        <f aca="false">(O102/E102)^(1/10)-1</f>
        <v>0.0639746247930708</v>
      </c>
      <c r="Q102" s="11" t="n">
        <f aca="false">(O102-E102)/E102</f>
        <v>0.859142607174103</v>
      </c>
      <c r="R102" s="17" t="s">
        <v>28</v>
      </c>
    </row>
    <row r="103" customFormat="false" ht="15" hidden="false" customHeight="false" outlineLevel="0" collapsed="false">
      <c r="A103" s="13" t="s">
        <v>207</v>
      </c>
      <c r="B103" s="14" t="s">
        <v>226</v>
      </c>
      <c r="C103" s="15" t="s">
        <v>224</v>
      </c>
      <c r="D103" s="14" t="s">
        <v>227</v>
      </c>
      <c r="E103" s="9" t="s">
        <v>24</v>
      </c>
      <c r="F103" s="9" t="s">
        <v>24</v>
      </c>
      <c r="G103" s="9" t="s">
        <v>24</v>
      </c>
      <c r="H103" s="9" t="s">
        <v>24</v>
      </c>
      <c r="I103" s="9" t="s">
        <v>24</v>
      </c>
      <c r="J103" s="9" t="s">
        <v>24</v>
      </c>
      <c r="K103" s="16" t="n">
        <v>37.59</v>
      </c>
      <c r="L103" s="16" t="n">
        <v>37.59</v>
      </c>
      <c r="M103" s="16" t="n">
        <v>42.45</v>
      </c>
      <c r="N103" s="16" t="n">
        <v>46.65</v>
      </c>
      <c r="O103" s="9" t="s">
        <v>24</v>
      </c>
      <c r="P103" s="10" t="n">
        <f aca="false">(N103/K103)^(1/3)-1</f>
        <v>0.0746320134482694</v>
      </c>
      <c r="Q103" s="11" t="n">
        <f aca="false">(N103-K103)/K103</f>
        <v>0.241021548284118</v>
      </c>
      <c r="R103" s="17" t="s">
        <v>28</v>
      </c>
    </row>
    <row r="104" customFormat="false" ht="15" hidden="false" customHeight="false" outlineLevel="0" collapsed="false">
      <c r="A104" s="35" t="s">
        <v>207</v>
      </c>
      <c r="B104" s="36" t="s">
        <v>228</v>
      </c>
      <c r="C104" s="37" t="s">
        <v>229</v>
      </c>
      <c r="D104" s="36" t="s">
        <v>230</v>
      </c>
      <c r="E104" s="9" t="s">
        <v>24</v>
      </c>
      <c r="F104" s="9" t="s">
        <v>24</v>
      </c>
      <c r="G104" s="9" t="s">
        <v>24</v>
      </c>
      <c r="H104" s="9" t="s">
        <v>24</v>
      </c>
      <c r="I104" s="9" t="s">
        <v>24</v>
      </c>
      <c r="J104" s="9" t="s">
        <v>24</v>
      </c>
      <c r="K104" s="9" t="s">
        <v>24</v>
      </c>
      <c r="L104" s="38" t="n">
        <v>189</v>
      </c>
      <c r="M104" s="38" t="n">
        <v>210</v>
      </c>
      <c r="N104" s="38" t="n">
        <v>237</v>
      </c>
      <c r="O104" s="38" t="n">
        <v>241</v>
      </c>
      <c r="P104" s="10" t="n">
        <f aca="false">(O104/L104)^(1/3)-1</f>
        <v>0.0843889400814748</v>
      </c>
      <c r="Q104" s="11" t="n">
        <f aca="false">(O104-L104)/L104</f>
        <v>0.275132275132275</v>
      </c>
      <c r="R104" s="17" t="s">
        <v>28</v>
      </c>
    </row>
    <row r="105" customFormat="false" ht="15" hidden="false" customHeight="false" outlineLevel="0" collapsed="false">
      <c r="A105" s="13" t="s">
        <v>207</v>
      </c>
      <c r="B105" s="14" t="s">
        <v>231</v>
      </c>
      <c r="C105" s="15" t="s">
        <v>232</v>
      </c>
      <c r="D105" s="14" t="s">
        <v>233</v>
      </c>
      <c r="E105" s="16" t="n">
        <v>31.98</v>
      </c>
      <c r="F105" s="16" t="n">
        <v>31.98</v>
      </c>
      <c r="G105" s="16" t="n">
        <v>32.07</v>
      </c>
      <c r="H105" s="16" t="n">
        <v>36.95</v>
      </c>
      <c r="I105" s="16" t="n">
        <v>37.97</v>
      </c>
      <c r="J105" s="16" t="n">
        <v>37.97</v>
      </c>
      <c r="K105" s="16" t="n">
        <v>37.97</v>
      </c>
      <c r="L105" s="16" t="n">
        <v>43.35</v>
      </c>
      <c r="M105" s="16" t="n">
        <v>44.95</v>
      </c>
      <c r="N105" s="16" t="n">
        <v>46.68</v>
      </c>
      <c r="O105" s="16" t="n">
        <v>48.22</v>
      </c>
      <c r="P105" s="10" t="n">
        <f aca="false">(O105/E105)^(1/10)-1</f>
        <v>0.0419211998578342</v>
      </c>
      <c r="Q105" s="11" t="n">
        <f aca="false">(O105-E105)/E105</f>
        <v>0.507817385866166</v>
      </c>
      <c r="R105" s="17" t="s">
        <v>28</v>
      </c>
    </row>
    <row r="106" customFormat="false" ht="15" hidden="false" customHeight="false" outlineLevel="0" collapsed="false">
      <c r="A106" s="35" t="s">
        <v>207</v>
      </c>
      <c r="B106" s="36" t="s">
        <v>234</v>
      </c>
      <c r="C106" s="37" t="s">
        <v>235</v>
      </c>
      <c r="D106" s="36" t="s">
        <v>236</v>
      </c>
      <c r="E106" s="9" t="s">
        <v>24</v>
      </c>
      <c r="F106" s="9" t="s">
        <v>24</v>
      </c>
      <c r="G106" s="9" t="s">
        <v>24</v>
      </c>
      <c r="H106" s="9" t="s">
        <v>24</v>
      </c>
      <c r="I106" s="9" t="s">
        <v>24</v>
      </c>
      <c r="J106" s="9" t="s">
        <v>24</v>
      </c>
      <c r="K106" s="38" t="n">
        <v>89.9</v>
      </c>
      <c r="L106" s="9" t="s">
        <v>24</v>
      </c>
      <c r="M106" s="9" t="s">
        <v>24</v>
      </c>
      <c r="N106" s="9" t="s">
        <v>24</v>
      </c>
      <c r="O106" s="9" t="s">
        <v>24</v>
      </c>
      <c r="P106" s="18" t="s">
        <v>24</v>
      </c>
      <c r="Q106" s="18" t="s">
        <v>24</v>
      </c>
      <c r="R106" s="12" t="s">
        <v>25</v>
      </c>
    </row>
    <row r="107" customFormat="false" ht="15" hidden="false" customHeight="false" outlineLevel="0" collapsed="false">
      <c r="A107" s="13" t="s">
        <v>207</v>
      </c>
      <c r="B107" s="14" t="s">
        <v>237</v>
      </c>
      <c r="C107" s="15" t="s">
        <v>238</v>
      </c>
      <c r="D107" s="14" t="s">
        <v>239</v>
      </c>
      <c r="E107" s="9" t="s">
        <v>24</v>
      </c>
      <c r="F107" s="9" t="s">
        <v>24</v>
      </c>
      <c r="G107" s="9" t="s">
        <v>24</v>
      </c>
      <c r="H107" s="9" t="s">
        <v>24</v>
      </c>
      <c r="I107" s="9" t="s">
        <v>24</v>
      </c>
      <c r="J107" s="9" t="s">
        <v>24</v>
      </c>
      <c r="K107" s="9" t="s">
        <v>24</v>
      </c>
      <c r="L107" s="16" t="n">
        <v>33.99</v>
      </c>
      <c r="M107" s="16" t="n">
        <v>35.1</v>
      </c>
      <c r="N107" s="9" t="s">
        <v>24</v>
      </c>
      <c r="O107" s="9" t="s">
        <v>24</v>
      </c>
      <c r="P107" s="10" t="n">
        <f aca="false">(M107/L107)^(1/1)-1</f>
        <v>0.0326566637246248</v>
      </c>
      <c r="Q107" s="11" t="n">
        <f aca="false">(M107-L107)/L107</f>
        <v>0.0326566637246249</v>
      </c>
      <c r="R107" s="12" t="s">
        <v>25</v>
      </c>
    </row>
    <row r="108" customFormat="false" ht="15" hidden="false" customHeight="false" outlineLevel="0" collapsed="false">
      <c r="A108" s="4" t="s">
        <v>240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customFormat="false" ht="15" hidden="false" customHeight="false" outlineLevel="0" collapsed="false">
      <c r="A109" s="13" t="s">
        <v>240</v>
      </c>
      <c r="B109" s="14" t="s">
        <v>241</v>
      </c>
      <c r="C109" s="15" t="s">
        <v>43</v>
      </c>
      <c r="D109" s="14" t="s">
        <v>170</v>
      </c>
      <c r="E109" s="16" t="n">
        <v>7.38</v>
      </c>
      <c r="F109" s="16" t="n">
        <v>7.66</v>
      </c>
      <c r="G109" s="16" t="n">
        <v>7.58</v>
      </c>
      <c r="H109" s="16" t="n">
        <v>7.68</v>
      </c>
      <c r="I109" s="16" t="n">
        <v>7.68</v>
      </c>
      <c r="J109" s="16" t="n">
        <v>7.85</v>
      </c>
      <c r="K109" s="9" t="s">
        <v>24</v>
      </c>
      <c r="L109" s="9" t="s">
        <v>24</v>
      </c>
      <c r="M109" s="9" t="s">
        <v>24</v>
      </c>
      <c r="N109" s="9" t="s">
        <v>24</v>
      </c>
      <c r="O109" s="9" t="s">
        <v>24</v>
      </c>
      <c r="P109" s="10" t="n">
        <f aca="false">(J109/E109)^(1/5)-1</f>
        <v>0.012424529683668</v>
      </c>
      <c r="Q109" s="11" t="n">
        <f aca="false">(J109-E109)/E109</f>
        <v>0.0636856368563685</v>
      </c>
      <c r="R109" s="12" t="s">
        <v>25</v>
      </c>
    </row>
    <row r="110" customFormat="false" ht="15" hidden="false" customHeight="false" outlineLevel="0" collapsed="false">
      <c r="A110" s="39" t="s">
        <v>240</v>
      </c>
      <c r="B110" s="40" t="s">
        <v>242</v>
      </c>
      <c r="C110" s="41" t="s">
        <v>49</v>
      </c>
      <c r="D110" s="40" t="s">
        <v>243</v>
      </c>
      <c r="E110" s="42" t="n">
        <v>5.99</v>
      </c>
      <c r="F110" s="42" t="n">
        <v>5.99</v>
      </c>
      <c r="G110" s="42" t="n">
        <v>5.99</v>
      </c>
      <c r="H110" s="42" t="n">
        <v>5.79</v>
      </c>
      <c r="I110" s="42" t="n">
        <v>6.16</v>
      </c>
      <c r="J110" s="42" t="n">
        <v>6.32</v>
      </c>
      <c r="K110" s="42" t="n">
        <v>6.32</v>
      </c>
      <c r="L110" s="42" t="n">
        <v>6.32</v>
      </c>
      <c r="M110" s="42" t="n">
        <v>7.19</v>
      </c>
      <c r="N110" s="42" t="n">
        <v>7.19</v>
      </c>
      <c r="O110" s="42" t="n">
        <v>7.19</v>
      </c>
      <c r="P110" s="10" t="n">
        <f aca="false">(O110/E110)^(1/10)-1</f>
        <v>0.0184277086981142</v>
      </c>
      <c r="Q110" s="11" t="n">
        <f aca="false">(O110-E110)/E110</f>
        <v>0.200333889816361</v>
      </c>
      <c r="R110" s="17" t="s">
        <v>28</v>
      </c>
    </row>
    <row r="111" customFormat="false" ht="15" hidden="false" customHeight="false" outlineLevel="0" collapsed="false">
      <c r="A111" s="13" t="s">
        <v>240</v>
      </c>
      <c r="B111" s="14" t="s">
        <v>244</v>
      </c>
      <c r="C111" s="15" t="s">
        <v>49</v>
      </c>
      <c r="D111" s="14" t="s">
        <v>245</v>
      </c>
      <c r="E111" s="16" t="n">
        <v>7.47</v>
      </c>
      <c r="F111" s="16" t="n">
        <v>7.98</v>
      </c>
      <c r="G111" s="16" t="n">
        <v>8.15</v>
      </c>
      <c r="H111" s="16" t="n">
        <v>9.99</v>
      </c>
      <c r="I111" s="16" t="n">
        <v>10.88</v>
      </c>
      <c r="J111" s="16" t="n">
        <v>10.9</v>
      </c>
      <c r="K111" s="9" t="s">
        <v>24</v>
      </c>
      <c r="L111" s="9" t="s">
        <v>24</v>
      </c>
      <c r="M111" s="9" t="s">
        <v>24</v>
      </c>
      <c r="N111" s="9" t="s">
        <v>24</v>
      </c>
      <c r="O111" s="9" t="s">
        <v>24</v>
      </c>
      <c r="P111" s="10" t="n">
        <f aca="false">(J111/E111)^(1/5)-1</f>
        <v>0.0785025573109559</v>
      </c>
      <c r="Q111" s="11" t="n">
        <f aca="false">(J111-E111)/E111</f>
        <v>0.459170013386881</v>
      </c>
      <c r="R111" s="12" t="s">
        <v>25</v>
      </c>
    </row>
    <row r="112" customFormat="false" ht="15" hidden="false" customHeight="false" outlineLevel="0" collapsed="false">
      <c r="A112" s="39" t="s">
        <v>240</v>
      </c>
      <c r="B112" s="40" t="s">
        <v>246</v>
      </c>
      <c r="C112" s="41" t="s">
        <v>49</v>
      </c>
      <c r="D112" s="40" t="s">
        <v>247</v>
      </c>
      <c r="E112" s="9" t="s">
        <v>24</v>
      </c>
      <c r="F112" s="9" t="s">
        <v>24</v>
      </c>
      <c r="G112" s="9" t="s">
        <v>24</v>
      </c>
      <c r="H112" s="9" t="s">
        <v>24</v>
      </c>
      <c r="I112" s="9" t="s">
        <v>24</v>
      </c>
      <c r="J112" s="9" t="s">
        <v>24</v>
      </c>
      <c r="K112" s="42" t="n">
        <v>10.9</v>
      </c>
      <c r="L112" s="42" t="n">
        <v>11.49</v>
      </c>
      <c r="M112" s="42" t="n">
        <v>11.99</v>
      </c>
      <c r="N112" s="42" t="n">
        <v>11.99</v>
      </c>
      <c r="O112" s="42" t="n">
        <v>11.99</v>
      </c>
      <c r="P112" s="10" t="n">
        <f aca="false">(O112/K112)^(1/4)-1</f>
        <v>0.0241136890844451</v>
      </c>
      <c r="Q112" s="11" t="n">
        <f aca="false">(O112-K112)/K112</f>
        <v>0.1</v>
      </c>
      <c r="R112" s="17" t="s">
        <v>28</v>
      </c>
    </row>
    <row r="113" customFormat="false" ht="15" hidden="false" customHeight="false" outlineLevel="0" collapsed="false">
      <c r="A113" s="13" t="s">
        <v>240</v>
      </c>
      <c r="B113" s="14" t="s">
        <v>248</v>
      </c>
      <c r="C113" s="15" t="s">
        <v>63</v>
      </c>
      <c r="D113" s="14" t="s">
        <v>209</v>
      </c>
      <c r="E113" s="9" t="s">
        <v>24</v>
      </c>
      <c r="F113" s="16" t="n">
        <v>7.75</v>
      </c>
      <c r="G113" s="16" t="n">
        <v>7.9</v>
      </c>
      <c r="H113" s="16" t="n">
        <v>8.5</v>
      </c>
      <c r="I113" s="16" t="n">
        <v>8.5</v>
      </c>
      <c r="J113" s="9" t="s">
        <v>24</v>
      </c>
      <c r="K113" s="9" t="s">
        <v>24</v>
      </c>
      <c r="L113" s="9" t="s">
        <v>24</v>
      </c>
      <c r="M113" s="9" t="s">
        <v>24</v>
      </c>
      <c r="N113" s="9" t="s">
        <v>24</v>
      </c>
      <c r="O113" s="9" t="s">
        <v>24</v>
      </c>
      <c r="P113" s="10" t="n">
        <f aca="false">(I113/F113)^(1/3)-1</f>
        <v>0.031270055989971</v>
      </c>
      <c r="Q113" s="11" t="n">
        <f aca="false">(I113-F113)/F113</f>
        <v>0.0967741935483871</v>
      </c>
      <c r="R113" s="12" t="s">
        <v>25</v>
      </c>
    </row>
    <row r="114" customFormat="false" ht="15" hidden="false" customHeight="false" outlineLevel="0" collapsed="false">
      <c r="A114" s="39" t="s">
        <v>240</v>
      </c>
      <c r="B114" s="40" t="s">
        <v>249</v>
      </c>
      <c r="C114" s="41" t="s">
        <v>112</v>
      </c>
      <c r="D114" s="40" t="s">
        <v>127</v>
      </c>
      <c r="E114" s="9" t="s">
        <v>24</v>
      </c>
      <c r="F114" s="42" t="n">
        <v>12.27</v>
      </c>
      <c r="G114" s="42" t="n">
        <v>12.48</v>
      </c>
      <c r="H114" s="42" t="n">
        <v>13.14</v>
      </c>
      <c r="I114" s="9" t="s">
        <v>24</v>
      </c>
      <c r="J114" s="9" t="s">
        <v>24</v>
      </c>
      <c r="K114" s="9" t="s">
        <v>24</v>
      </c>
      <c r="L114" s="9" t="s">
        <v>24</v>
      </c>
      <c r="M114" s="9" t="s">
        <v>24</v>
      </c>
      <c r="N114" s="9" t="s">
        <v>24</v>
      </c>
      <c r="O114" s="9" t="s">
        <v>24</v>
      </c>
      <c r="P114" s="10" t="n">
        <f aca="false">(H114/F114)^(1/2)-1</f>
        <v>0.0348452277885678</v>
      </c>
      <c r="Q114" s="11" t="n">
        <f aca="false">(H114-F114)/F114</f>
        <v>0.0709046454767727</v>
      </c>
      <c r="R114" s="12" t="s">
        <v>25</v>
      </c>
    </row>
    <row r="115" customFormat="false" ht="15" hidden="false" customHeight="false" outlineLevel="0" collapsed="false">
      <c r="A115" s="13" t="s">
        <v>240</v>
      </c>
      <c r="B115" s="14" t="s">
        <v>250</v>
      </c>
      <c r="C115" s="15" t="s">
        <v>60</v>
      </c>
      <c r="D115" s="14" t="s">
        <v>170</v>
      </c>
      <c r="E115" s="9" t="s">
        <v>24</v>
      </c>
      <c r="F115" s="9" t="s">
        <v>24</v>
      </c>
      <c r="G115" s="16" t="n">
        <v>25.69</v>
      </c>
      <c r="H115" s="16" t="n">
        <v>25.91</v>
      </c>
      <c r="I115" s="16" t="n">
        <v>28.15</v>
      </c>
      <c r="J115" s="16" t="n">
        <v>30.84</v>
      </c>
      <c r="K115" s="9" t="s">
        <v>24</v>
      </c>
      <c r="L115" s="9" t="s">
        <v>24</v>
      </c>
      <c r="M115" s="9" t="s">
        <v>24</v>
      </c>
      <c r="N115" s="9" t="s">
        <v>24</v>
      </c>
      <c r="O115" s="9" t="s">
        <v>24</v>
      </c>
      <c r="P115" s="10" t="n">
        <f aca="false">(J115/G115)^(1/3)-1</f>
        <v>0.0627964335548354</v>
      </c>
      <c r="Q115" s="11" t="n">
        <f aca="false">(J115-G115)/G115</f>
        <v>0.200467107824056</v>
      </c>
      <c r="R115" s="12" t="s">
        <v>25</v>
      </c>
    </row>
    <row r="116" customFormat="false" ht="15" hidden="false" customHeight="false" outlineLevel="0" collapsed="false">
      <c r="A116" s="39" t="s">
        <v>240</v>
      </c>
      <c r="B116" s="40" t="s">
        <v>251</v>
      </c>
      <c r="C116" s="41" t="s">
        <v>60</v>
      </c>
      <c r="D116" s="40" t="s">
        <v>252</v>
      </c>
      <c r="E116" s="9" t="s">
        <v>24</v>
      </c>
      <c r="F116" s="9" t="s">
        <v>24</v>
      </c>
      <c r="G116" s="9" t="s">
        <v>24</v>
      </c>
      <c r="H116" s="9" t="s">
        <v>24</v>
      </c>
      <c r="I116" s="9" t="s">
        <v>24</v>
      </c>
      <c r="J116" s="9" t="s">
        <v>24</v>
      </c>
      <c r="K116" s="9" t="s">
        <v>24</v>
      </c>
      <c r="L116" s="9" t="s">
        <v>24</v>
      </c>
      <c r="M116" s="42" t="n">
        <v>10.99</v>
      </c>
      <c r="N116" s="42" t="n">
        <v>11.42</v>
      </c>
      <c r="O116" s="42" t="n">
        <v>11.42</v>
      </c>
      <c r="P116" s="10" t="n">
        <f aca="false">(O116/M116)^(1/2)-1</f>
        <v>0.0193755336562305</v>
      </c>
      <c r="Q116" s="11" t="n">
        <f aca="false">(O116-M116)/M116</f>
        <v>0.0391264786169245</v>
      </c>
      <c r="R116" s="17" t="s">
        <v>28</v>
      </c>
    </row>
    <row r="117" customFormat="false" ht="15" hidden="false" customHeight="false" outlineLevel="0" collapsed="false">
      <c r="A117" s="13" t="s">
        <v>240</v>
      </c>
      <c r="B117" s="14" t="s">
        <v>253</v>
      </c>
      <c r="C117" s="15" t="s">
        <v>232</v>
      </c>
      <c r="D117" s="14" t="s">
        <v>254</v>
      </c>
      <c r="E117" s="16" t="n">
        <v>33.18</v>
      </c>
      <c r="F117" s="9" t="s">
        <v>24</v>
      </c>
      <c r="G117" s="9" t="s">
        <v>24</v>
      </c>
      <c r="H117" s="16" t="n">
        <v>37.97</v>
      </c>
      <c r="I117" s="9" t="s">
        <v>24</v>
      </c>
      <c r="J117" s="9" t="s">
        <v>24</v>
      </c>
      <c r="K117" s="9" t="s">
        <v>24</v>
      </c>
      <c r="L117" s="9" t="s">
        <v>24</v>
      </c>
      <c r="M117" s="9" t="s">
        <v>24</v>
      </c>
      <c r="N117" s="9" t="s">
        <v>24</v>
      </c>
      <c r="O117" s="9" t="s">
        <v>24</v>
      </c>
      <c r="P117" s="10" t="n">
        <f aca="false">(H117/E117)^(1/3)-1</f>
        <v>0.0459752423632196</v>
      </c>
      <c r="Q117" s="11" t="n">
        <f aca="false">(H117-E117)/E117</f>
        <v>0.144364074743822</v>
      </c>
      <c r="R117" s="12" t="s">
        <v>25</v>
      </c>
    </row>
    <row r="118" customFormat="false" ht="15" hidden="false" customHeight="false" outlineLevel="0" collapsed="false">
      <c r="A118" s="4" t="s">
        <v>255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customFormat="false" ht="15" hidden="false" customHeight="false" outlineLevel="0" collapsed="false">
      <c r="A119" s="13" t="s">
        <v>255</v>
      </c>
      <c r="B119" s="14" t="s">
        <v>256</v>
      </c>
      <c r="C119" s="15" t="s">
        <v>60</v>
      </c>
      <c r="D119" s="14" t="s">
        <v>257</v>
      </c>
      <c r="E119" s="9" t="s">
        <v>24</v>
      </c>
      <c r="F119" s="9" t="s">
        <v>24</v>
      </c>
      <c r="G119" s="9" t="s">
        <v>24</v>
      </c>
      <c r="H119" s="9" t="s">
        <v>24</v>
      </c>
      <c r="I119" s="16" t="n">
        <v>12.18</v>
      </c>
      <c r="J119" s="16" t="n">
        <v>12.18</v>
      </c>
      <c r="K119" s="16" t="n">
        <v>13.48</v>
      </c>
      <c r="L119" s="16" t="n">
        <v>14.73</v>
      </c>
      <c r="M119" s="16" t="n">
        <v>14.73</v>
      </c>
      <c r="N119" s="16" t="n">
        <v>14.99</v>
      </c>
      <c r="O119" s="16" t="n">
        <v>14.74</v>
      </c>
      <c r="P119" s="10" t="n">
        <f aca="false">(O119/I119)^(1/6)-1</f>
        <v>0.0323057963021454</v>
      </c>
      <c r="Q119" s="11" t="n">
        <f aca="false">(O119-I119)/I119</f>
        <v>0.210180623973727</v>
      </c>
      <c r="R119" s="17" t="s">
        <v>28</v>
      </c>
    </row>
    <row r="120" customFormat="false" ht="15" hidden="false" customHeight="false" outlineLevel="0" collapsed="false">
      <c r="A120" s="43" t="s">
        <v>255</v>
      </c>
      <c r="B120" s="44" t="s">
        <v>258</v>
      </c>
      <c r="C120" s="45" t="s">
        <v>112</v>
      </c>
      <c r="D120" s="44" t="s">
        <v>259</v>
      </c>
      <c r="E120" s="9" t="s">
        <v>24</v>
      </c>
      <c r="F120" s="9" t="s">
        <v>24</v>
      </c>
      <c r="G120" s="9" t="s">
        <v>24</v>
      </c>
      <c r="H120" s="9" t="s">
        <v>24</v>
      </c>
      <c r="I120" s="9" t="s">
        <v>24</v>
      </c>
      <c r="J120" s="46" t="n">
        <v>13.49</v>
      </c>
      <c r="K120" s="46" t="n">
        <v>13.49</v>
      </c>
      <c r="L120" s="46" t="n">
        <v>14.73</v>
      </c>
      <c r="M120" s="46" t="n">
        <v>17.34</v>
      </c>
      <c r="N120" s="46" t="n">
        <v>17.34</v>
      </c>
      <c r="O120" s="46" t="n">
        <v>17.34</v>
      </c>
      <c r="P120" s="10" t="n">
        <f aca="false">(O120/J120)^(1/5)-1</f>
        <v>0.051495524894847</v>
      </c>
      <c r="Q120" s="11" t="n">
        <f aca="false">(O120-J120)/J120</f>
        <v>0.285396590066716</v>
      </c>
      <c r="R120" s="17" t="s">
        <v>28</v>
      </c>
    </row>
    <row r="121" customFormat="false" ht="15" hidden="false" customHeight="false" outlineLevel="0" collapsed="false">
      <c r="A121" s="13" t="s">
        <v>255</v>
      </c>
      <c r="B121" s="14" t="s">
        <v>260</v>
      </c>
      <c r="C121" s="15" t="s">
        <v>77</v>
      </c>
      <c r="D121" s="14" t="s">
        <v>261</v>
      </c>
      <c r="E121" s="9" t="s">
        <v>24</v>
      </c>
      <c r="F121" s="9" t="s">
        <v>24</v>
      </c>
      <c r="G121" s="9" t="s">
        <v>24</v>
      </c>
      <c r="H121" s="9" t="s">
        <v>24</v>
      </c>
      <c r="I121" s="9" t="s">
        <v>24</v>
      </c>
      <c r="J121" s="16" t="n">
        <v>20.88</v>
      </c>
      <c r="K121" s="16" t="n">
        <v>20.88</v>
      </c>
      <c r="L121" s="16" t="n">
        <v>21.99</v>
      </c>
      <c r="M121" s="16" t="n">
        <v>22.58</v>
      </c>
      <c r="N121" s="9" t="s">
        <v>24</v>
      </c>
      <c r="O121" s="9" t="s">
        <v>24</v>
      </c>
      <c r="P121" s="10" t="n">
        <f aca="false">(M121/J121)^(1/3)-1</f>
        <v>0.0264342798516917</v>
      </c>
      <c r="Q121" s="11" t="n">
        <f aca="false">(M121-J121)/J121</f>
        <v>0.0814176245210728</v>
      </c>
      <c r="R121" s="12" t="s">
        <v>25</v>
      </c>
    </row>
    <row r="122" customFormat="false" ht="15" hidden="false" customHeight="false" outlineLevel="0" collapsed="false">
      <c r="A122" s="43" t="s">
        <v>255</v>
      </c>
      <c r="B122" s="44" t="s">
        <v>262</v>
      </c>
      <c r="C122" s="45" t="s">
        <v>77</v>
      </c>
      <c r="D122" s="44" t="s">
        <v>263</v>
      </c>
      <c r="E122" s="9" t="s">
        <v>24</v>
      </c>
      <c r="F122" s="9" t="s">
        <v>24</v>
      </c>
      <c r="G122" s="9" t="s">
        <v>24</v>
      </c>
      <c r="H122" s="9" t="s">
        <v>24</v>
      </c>
      <c r="I122" s="9" t="s">
        <v>24</v>
      </c>
      <c r="J122" s="9" t="s">
        <v>24</v>
      </c>
      <c r="K122" s="9" t="s">
        <v>24</v>
      </c>
      <c r="L122" s="9" t="s">
        <v>24</v>
      </c>
      <c r="M122" s="9" t="s">
        <v>24</v>
      </c>
      <c r="N122" s="46" t="n">
        <v>13.5</v>
      </c>
      <c r="O122" s="46" t="n">
        <v>13.5</v>
      </c>
      <c r="P122" s="10" t="n">
        <f aca="false">(O122/N122)^(1/1)-1</f>
        <v>0</v>
      </c>
      <c r="Q122" s="11" t="n">
        <f aca="false">(O122-N122)/N122</f>
        <v>0</v>
      </c>
      <c r="R122" s="17" t="s">
        <v>28</v>
      </c>
    </row>
    <row r="123" customFormat="false" ht="15" hidden="false" customHeight="false" outlineLevel="0" collapsed="false">
      <c r="A123" s="13" t="s">
        <v>255</v>
      </c>
      <c r="B123" s="14" t="s">
        <v>264</v>
      </c>
      <c r="C123" s="15" t="s">
        <v>60</v>
      </c>
      <c r="D123" s="14" t="s">
        <v>192</v>
      </c>
      <c r="E123" s="9" t="s">
        <v>24</v>
      </c>
      <c r="F123" s="9" t="s">
        <v>24</v>
      </c>
      <c r="G123" s="9" t="s">
        <v>24</v>
      </c>
      <c r="H123" s="9" t="s">
        <v>24</v>
      </c>
      <c r="I123" s="9" t="s">
        <v>24</v>
      </c>
      <c r="J123" s="9" t="s">
        <v>24</v>
      </c>
      <c r="K123" s="9" t="s">
        <v>24</v>
      </c>
      <c r="L123" s="16" t="n">
        <v>9.99</v>
      </c>
      <c r="M123" s="16" t="n">
        <v>9.99</v>
      </c>
      <c r="N123" s="16" t="n">
        <v>10.99</v>
      </c>
      <c r="O123" s="16" t="n">
        <v>10.99</v>
      </c>
      <c r="P123" s="10" t="n">
        <f aca="false">(O123/L123)^(1/3)-1</f>
        <v>0.0323114270347489</v>
      </c>
      <c r="Q123" s="11" t="n">
        <f aca="false">(O123-L123)/L123</f>
        <v>0.1001001001001</v>
      </c>
      <c r="R123" s="17" t="s">
        <v>28</v>
      </c>
    </row>
    <row r="124" customFormat="false" ht="15" hidden="false" customHeight="false" outlineLevel="0" collapsed="false">
      <c r="A124" s="43" t="s">
        <v>255</v>
      </c>
      <c r="B124" s="44" t="s">
        <v>265</v>
      </c>
      <c r="C124" s="45" t="s">
        <v>224</v>
      </c>
      <c r="D124" s="44" t="s">
        <v>266</v>
      </c>
      <c r="E124" s="9" t="s">
        <v>24</v>
      </c>
      <c r="F124" s="9" t="s">
        <v>24</v>
      </c>
      <c r="G124" s="9" t="s">
        <v>24</v>
      </c>
      <c r="H124" s="9" t="s">
        <v>24</v>
      </c>
      <c r="I124" s="9" t="s">
        <v>24</v>
      </c>
      <c r="J124" s="46" t="n">
        <v>30.9</v>
      </c>
      <c r="K124" s="46" t="n">
        <v>30.9</v>
      </c>
      <c r="L124" s="46" t="n">
        <v>35.49</v>
      </c>
      <c r="M124" s="46" t="n">
        <v>35.49</v>
      </c>
      <c r="N124" s="46" t="n">
        <v>36.99</v>
      </c>
      <c r="O124" s="46" t="n">
        <v>36.99</v>
      </c>
      <c r="P124" s="10" t="n">
        <f aca="false">(O124/J124)^(1/5)-1</f>
        <v>0.0366333351193462</v>
      </c>
      <c r="Q124" s="11" t="n">
        <f aca="false">(O124-J124)/J124</f>
        <v>0.197087378640777</v>
      </c>
      <c r="R124" s="17" t="s">
        <v>28</v>
      </c>
    </row>
    <row r="125" customFormat="false" ht="15" hidden="false" customHeight="false" outlineLevel="0" collapsed="false">
      <c r="A125" s="13" t="s">
        <v>255</v>
      </c>
      <c r="B125" s="14" t="s">
        <v>267</v>
      </c>
      <c r="C125" s="15" t="s">
        <v>268</v>
      </c>
      <c r="D125" s="14" t="s">
        <v>269</v>
      </c>
      <c r="E125" s="9" t="s">
        <v>24</v>
      </c>
      <c r="F125" s="9" t="s">
        <v>24</v>
      </c>
      <c r="G125" s="9" t="s">
        <v>24</v>
      </c>
      <c r="H125" s="9" t="s">
        <v>24</v>
      </c>
      <c r="I125" s="9" t="s">
        <v>24</v>
      </c>
      <c r="J125" s="9" t="s">
        <v>24</v>
      </c>
      <c r="K125" s="9" t="s">
        <v>24</v>
      </c>
      <c r="L125" s="9" t="s">
        <v>24</v>
      </c>
      <c r="M125" s="16" t="n">
        <v>7.98</v>
      </c>
      <c r="N125" s="16" t="n">
        <v>7.98</v>
      </c>
      <c r="O125" s="16" t="n">
        <v>7.98</v>
      </c>
      <c r="P125" s="10" t="n">
        <f aca="false">(O125/M125)^(1/2)-1</f>
        <v>0</v>
      </c>
      <c r="Q125" s="11" t="n">
        <f aca="false">(O125-M125)/M125</f>
        <v>0</v>
      </c>
      <c r="R125" s="17" t="s">
        <v>28</v>
      </c>
    </row>
    <row r="126" customFormat="false" ht="15" hidden="false" customHeight="false" outlineLevel="0" collapsed="false">
      <c r="A126" s="43" t="s">
        <v>255</v>
      </c>
      <c r="B126" s="44" t="s">
        <v>270</v>
      </c>
      <c r="C126" s="45" t="s">
        <v>77</v>
      </c>
      <c r="D126" s="44" t="s">
        <v>271</v>
      </c>
      <c r="E126" s="9" t="s">
        <v>24</v>
      </c>
      <c r="F126" s="9" t="s">
        <v>24</v>
      </c>
      <c r="G126" s="9" t="s">
        <v>24</v>
      </c>
      <c r="H126" s="9" t="s">
        <v>24</v>
      </c>
      <c r="I126" s="9" t="s">
        <v>24</v>
      </c>
      <c r="J126" s="9" t="s">
        <v>24</v>
      </c>
      <c r="K126" s="9" t="s">
        <v>24</v>
      </c>
      <c r="L126" s="9" t="s">
        <v>24</v>
      </c>
      <c r="M126" s="9" t="s">
        <v>24</v>
      </c>
      <c r="N126" s="9" t="s">
        <v>24</v>
      </c>
      <c r="O126" s="46" t="n">
        <v>16.6</v>
      </c>
      <c r="P126" s="18" t="s">
        <v>24</v>
      </c>
      <c r="Q126" s="18" t="s">
        <v>24</v>
      </c>
      <c r="R126" s="17" t="s">
        <v>28</v>
      </c>
    </row>
    <row r="127" customFormat="false" ht="15" hidden="false" customHeight="false" outlineLevel="0" collapsed="false">
      <c r="A127" s="4" t="s">
        <v>272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customFormat="false" ht="15" hidden="false" customHeight="false" outlineLevel="0" collapsed="false">
      <c r="A128" s="47" t="s">
        <v>272</v>
      </c>
      <c r="B128" s="48" t="s">
        <v>273</v>
      </c>
      <c r="C128" s="49" t="s">
        <v>32</v>
      </c>
      <c r="D128" s="48" t="s">
        <v>274</v>
      </c>
      <c r="E128" s="50" t="n">
        <v>5.22</v>
      </c>
      <c r="F128" s="50" t="n">
        <v>5.35</v>
      </c>
      <c r="G128" s="9" t="s">
        <v>24</v>
      </c>
      <c r="H128" s="9" t="s">
        <v>24</v>
      </c>
      <c r="I128" s="9" t="s">
        <v>24</v>
      </c>
      <c r="J128" s="9" t="s">
        <v>24</v>
      </c>
      <c r="K128" s="9" t="s">
        <v>24</v>
      </c>
      <c r="L128" s="9" t="s">
        <v>24</v>
      </c>
      <c r="M128" s="9" t="s">
        <v>24</v>
      </c>
      <c r="N128" s="9" t="s">
        <v>24</v>
      </c>
      <c r="O128" s="9" t="s">
        <v>24</v>
      </c>
      <c r="P128" s="10" t="n">
        <f aca="false">(F128/E128)^(1/1)-1</f>
        <v>0.024904214559387</v>
      </c>
      <c r="Q128" s="11" t="n">
        <f aca="false">(F128-E128)/E128</f>
        <v>0.024904214559387</v>
      </c>
      <c r="R128" s="12" t="s">
        <v>25</v>
      </c>
    </row>
    <row r="129" customFormat="false" ht="15" hidden="false" customHeight="false" outlineLevel="0" collapsed="false">
      <c r="A129" s="13" t="s">
        <v>272</v>
      </c>
      <c r="B129" s="14" t="s">
        <v>275</v>
      </c>
      <c r="C129" s="15" t="s">
        <v>46</v>
      </c>
      <c r="D129" s="14" t="s">
        <v>276</v>
      </c>
      <c r="E129" s="16" t="n">
        <v>7.67</v>
      </c>
      <c r="F129" s="9" t="s">
        <v>24</v>
      </c>
      <c r="G129" s="9" t="s">
        <v>24</v>
      </c>
      <c r="H129" s="9" t="s">
        <v>24</v>
      </c>
      <c r="I129" s="9" t="s">
        <v>24</v>
      </c>
      <c r="J129" s="9" t="s">
        <v>24</v>
      </c>
      <c r="K129" s="9" t="s">
        <v>24</v>
      </c>
      <c r="L129" s="9" t="s">
        <v>24</v>
      </c>
      <c r="M129" s="9" t="s">
        <v>24</v>
      </c>
      <c r="N129" s="9" t="s">
        <v>24</v>
      </c>
      <c r="O129" s="9" t="s">
        <v>24</v>
      </c>
      <c r="P129" s="18" t="s">
        <v>24</v>
      </c>
      <c r="Q129" s="18" t="s">
        <v>24</v>
      </c>
      <c r="R129" s="12" t="s">
        <v>25</v>
      </c>
    </row>
    <row r="130" customFormat="false" ht="15" hidden="false" customHeight="false" outlineLevel="0" collapsed="false">
      <c r="A130" s="47" t="s">
        <v>272</v>
      </c>
      <c r="B130" s="48" t="s">
        <v>277</v>
      </c>
      <c r="C130" s="49" t="s">
        <v>22</v>
      </c>
      <c r="D130" s="48" t="s">
        <v>278</v>
      </c>
      <c r="E130" s="9" t="s">
        <v>24</v>
      </c>
      <c r="F130" s="50" t="n">
        <v>2.57</v>
      </c>
      <c r="G130" s="50" t="n">
        <v>2.66</v>
      </c>
      <c r="H130" s="50" t="n">
        <v>2.83</v>
      </c>
      <c r="I130" s="50" t="n">
        <v>2.83</v>
      </c>
      <c r="J130" s="50" t="n">
        <v>3.14</v>
      </c>
      <c r="K130" s="50" t="n">
        <v>3.14</v>
      </c>
      <c r="L130" s="50" t="n">
        <v>3.99</v>
      </c>
      <c r="M130" s="50" t="n">
        <v>4.49</v>
      </c>
      <c r="N130" s="50" t="n">
        <v>4.49</v>
      </c>
      <c r="O130" s="50" t="n">
        <v>4.49</v>
      </c>
      <c r="P130" s="10" t="n">
        <f aca="false">(O130/F130)^(1/9)-1</f>
        <v>0.0639560558835528</v>
      </c>
      <c r="Q130" s="11" t="n">
        <f aca="false">(O130-F130)/F130</f>
        <v>0.747081712062257</v>
      </c>
      <c r="R130" s="17" t="s">
        <v>28</v>
      </c>
    </row>
    <row r="131" customFormat="false" ht="15" hidden="false" customHeight="false" outlineLevel="0" collapsed="false">
      <c r="A131" s="13" t="s">
        <v>272</v>
      </c>
      <c r="B131" s="14" t="s">
        <v>279</v>
      </c>
      <c r="C131" s="15" t="s">
        <v>52</v>
      </c>
      <c r="D131" s="14" t="s">
        <v>168</v>
      </c>
      <c r="E131" s="16" t="n">
        <v>8.19</v>
      </c>
      <c r="F131" s="16" t="n">
        <v>8.49</v>
      </c>
      <c r="G131" s="16" t="n">
        <v>8.69</v>
      </c>
      <c r="H131" s="9" t="s">
        <v>24</v>
      </c>
      <c r="I131" s="9" t="s">
        <v>24</v>
      </c>
      <c r="J131" s="9" t="s">
        <v>24</v>
      </c>
      <c r="K131" s="9" t="s">
        <v>24</v>
      </c>
      <c r="L131" s="9" t="s">
        <v>24</v>
      </c>
      <c r="M131" s="9" t="s">
        <v>24</v>
      </c>
      <c r="N131" s="9" t="s">
        <v>24</v>
      </c>
      <c r="O131" s="9" t="s">
        <v>24</v>
      </c>
      <c r="P131" s="10" t="n">
        <f aca="false">(G131/E131)^(1/2)-1</f>
        <v>0.0300728425941832</v>
      </c>
      <c r="Q131" s="11" t="n">
        <f aca="false">(G131-E131)/E131</f>
        <v>0.0610500610500611</v>
      </c>
      <c r="R131" s="12" t="s">
        <v>25</v>
      </c>
    </row>
    <row r="132" customFormat="false" ht="15" hidden="false" customHeight="false" outlineLevel="0" collapsed="false">
      <c r="A132" s="47" t="s">
        <v>272</v>
      </c>
      <c r="B132" s="48" t="s">
        <v>280</v>
      </c>
      <c r="C132" s="49" t="s">
        <v>63</v>
      </c>
      <c r="D132" s="48" t="s">
        <v>281</v>
      </c>
      <c r="E132" s="50" t="n">
        <v>7.99</v>
      </c>
      <c r="F132" s="50" t="n">
        <v>8.49</v>
      </c>
      <c r="G132" s="50" t="n">
        <v>8.49</v>
      </c>
      <c r="H132" s="50" t="n">
        <v>7.99</v>
      </c>
      <c r="I132" s="50" t="n">
        <v>7.99</v>
      </c>
      <c r="J132" s="50" t="n">
        <v>9.99</v>
      </c>
      <c r="K132" s="9" t="s">
        <v>24</v>
      </c>
      <c r="L132" s="9" t="s">
        <v>24</v>
      </c>
      <c r="M132" s="9" t="s">
        <v>24</v>
      </c>
      <c r="N132" s="9" t="s">
        <v>24</v>
      </c>
      <c r="O132" s="9" t="s">
        <v>24</v>
      </c>
      <c r="P132" s="10" t="n">
        <f aca="false">(J132/E132)^(1/5)-1</f>
        <v>0.0456918947626619</v>
      </c>
      <c r="Q132" s="11" t="n">
        <f aca="false">(J132-E132)/E132</f>
        <v>0.250312891113892</v>
      </c>
      <c r="R132" s="12" t="s">
        <v>25</v>
      </c>
    </row>
    <row r="133" customFormat="false" ht="15" hidden="false" customHeight="false" outlineLevel="0" collapsed="false">
      <c r="A133" s="13" t="s">
        <v>272</v>
      </c>
      <c r="B133" s="14" t="s">
        <v>282</v>
      </c>
      <c r="C133" s="15" t="s">
        <v>52</v>
      </c>
      <c r="D133" s="14" t="s">
        <v>85</v>
      </c>
      <c r="E133" s="9" t="s">
        <v>24</v>
      </c>
      <c r="F133" s="9" t="s">
        <v>24</v>
      </c>
      <c r="G133" s="9" t="s">
        <v>24</v>
      </c>
      <c r="H133" s="9" t="s">
        <v>24</v>
      </c>
      <c r="I133" s="16" t="n">
        <v>4.95</v>
      </c>
      <c r="J133" s="16" t="n">
        <v>4.95</v>
      </c>
      <c r="K133" s="16" t="n">
        <v>5.3</v>
      </c>
      <c r="L133" s="16" t="n">
        <v>5.69</v>
      </c>
      <c r="M133" s="16" t="n">
        <v>5.69</v>
      </c>
      <c r="N133" s="16" t="n">
        <v>5.69</v>
      </c>
      <c r="O133" s="9" t="s">
        <v>24</v>
      </c>
      <c r="P133" s="10" t="n">
        <f aca="false">(N133/I133)^(1/5)-1</f>
        <v>0.0282563815276076</v>
      </c>
      <c r="Q133" s="11" t="n">
        <f aca="false">(N133-I133)/I133</f>
        <v>0.14949494949495</v>
      </c>
      <c r="R133" s="17" t="s">
        <v>28</v>
      </c>
    </row>
    <row r="134" customFormat="false" ht="15" hidden="false" customHeight="false" outlineLevel="0" collapsed="false">
      <c r="A134" s="47" t="s">
        <v>272</v>
      </c>
      <c r="B134" s="48" t="s">
        <v>283</v>
      </c>
      <c r="C134" s="49" t="s">
        <v>63</v>
      </c>
      <c r="D134" s="48" t="s">
        <v>284</v>
      </c>
      <c r="E134" s="9" t="s">
        <v>24</v>
      </c>
      <c r="F134" s="9" t="s">
        <v>24</v>
      </c>
      <c r="G134" s="9" t="s">
        <v>24</v>
      </c>
      <c r="H134" s="9" t="s">
        <v>24</v>
      </c>
      <c r="I134" s="9" t="s">
        <v>24</v>
      </c>
      <c r="J134" s="9" t="s">
        <v>24</v>
      </c>
      <c r="K134" s="50" t="n">
        <v>5.45</v>
      </c>
      <c r="L134" s="50" t="n">
        <v>5.99</v>
      </c>
      <c r="M134" s="50" t="n">
        <v>6</v>
      </c>
      <c r="N134" s="50" t="n">
        <v>6</v>
      </c>
      <c r="O134" s="50" t="n">
        <v>6</v>
      </c>
      <c r="P134" s="10" t="n">
        <f aca="false">(O134/K134)^(1/4)-1</f>
        <v>0.0243271572959507</v>
      </c>
      <c r="Q134" s="11" t="n">
        <f aca="false">(O134-K134)/K134</f>
        <v>0.100917431192661</v>
      </c>
      <c r="R134" s="17" t="s">
        <v>28</v>
      </c>
    </row>
    <row r="135" customFormat="false" ht="15" hidden="false" customHeight="false" outlineLevel="0" collapsed="false">
      <c r="A135" s="13" t="s">
        <v>272</v>
      </c>
      <c r="B135" s="14" t="s">
        <v>285</v>
      </c>
      <c r="C135" s="15" t="s">
        <v>60</v>
      </c>
      <c r="D135" s="14" t="s">
        <v>286</v>
      </c>
      <c r="E135" s="9" t="s">
        <v>24</v>
      </c>
      <c r="F135" s="9" t="s">
        <v>24</v>
      </c>
      <c r="G135" s="9" t="s">
        <v>24</v>
      </c>
      <c r="H135" s="9" t="s">
        <v>24</v>
      </c>
      <c r="I135" s="9" t="s">
        <v>24</v>
      </c>
      <c r="J135" s="9" t="s">
        <v>24</v>
      </c>
      <c r="K135" s="9" t="s">
        <v>24</v>
      </c>
      <c r="L135" s="9" t="s">
        <v>24</v>
      </c>
      <c r="M135" s="9" t="s">
        <v>24</v>
      </c>
      <c r="N135" s="9" t="s">
        <v>24</v>
      </c>
      <c r="O135" s="16" t="n">
        <v>12.49</v>
      </c>
      <c r="P135" s="18" t="s">
        <v>24</v>
      </c>
      <c r="Q135" s="18" t="s">
        <v>24</v>
      </c>
      <c r="R135" s="17" t="s">
        <v>28</v>
      </c>
    </row>
    <row r="136" customFormat="false" ht="15" hidden="false" customHeight="false" outlineLevel="0" collapsed="false">
      <c r="A136" s="4" t="s">
        <v>287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customFormat="false" ht="15" hidden="false" customHeight="false" outlineLevel="0" collapsed="false">
      <c r="A137" s="13" t="s">
        <v>287</v>
      </c>
      <c r="B137" s="14" t="s">
        <v>288</v>
      </c>
      <c r="C137" s="15" t="s">
        <v>32</v>
      </c>
      <c r="D137" s="14" t="s">
        <v>168</v>
      </c>
      <c r="E137" s="16" t="n">
        <v>5.44</v>
      </c>
      <c r="F137" s="16" t="n">
        <v>5.55</v>
      </c>
      <c r="G137" s="16" t="n">
        <v>5.6</v>
      </c>
      <c r="H137" s="16" t="n">
        <v>5.79</v>
      </c>
      <c r="I137" s="9" t="s">
        <v>24</v>
      </c>
      <c r="J137" s="9" t="s">
        <v>24</v>
      </c>
      <c r="K137" s="9" t="s">
        <v>24</v>
      </c>
      <c r="L137" s="9" t="s">
        <v>24</v>
      </c>
      <c r="M137" s="9" t="s">
        <v>24</v>
      </c>
      <c r="N137" s="9" t="s">
        <v>24</v>
      </c>
      <c r="O137" s="9" t="s">
        <v>24</v>
      </c>
      <c r="P137" s="10" t="n">
        <f aca="false">(H137/E137)^(1/3)-1</f>
        <v>0.0210019103504624</v>
      </c>
      <c r="Q137" s="11" t="n">
        <f aca="false">(H137-E137)/E137</f>
        <v>0.0643382352941176</v>
      </c>
      <c r="R137" s="12" t="s">
        <v>25</v>
      </c>
    </row>
    <row r="138" customFormat="false" ht="15" hidden="false" customHeight="false" outlineLevel="0" collapsed="false">
      <c r="A138" s="51" t="s">
        <v>287</v>
      </c>
      <c r="B138" s="52" t="s">
        <v>289</v>
      </c>
      <c r="C138" s="53" t="s">
        <v>46</v>
      </c>
      <c r="D138" s="52" t="s">
        <v>209</v>
      </c>
      <c r="E138" s="54" t="n">
        <v>6.99</v>
      </c>
      <c r="F138" s="54" t="n">
        <v>7.2</v>
      </c>
      <c r="G138" s="54" t="n">
        <v>7.4</v>
      </c>
      <c r="H138" s="54" t="n">
        <v>7.59</v>
      </c>
      <c r="I138" s="54" t="n">
        <v>7.68</v>
      </c>
      <c r="J138" s="9" t="s">
        <v>24</v>
      </c>
      <c r="K138" s="9" t="s">
        <v>24</v>
      </c>
      <c r="L138" s="9" t="s">
        <v>24</v>
      </c>
      <c r="M138" s="9" t="s">
        <v>24</v>
      </c>
      <c r="N138" s="9" t="s">
        <v>24</v>
      </c>
      <c r="O138" s="9" t="s">
        <v>24</v>
      </c>
      <c r="P138" s="10" t="n">
        <f aca="false">(I138/E138)^(1/4)-1</f>
        <v>0.0238138753350969</v>
      </c>
      <c r="Q138" s="11" t="n">
        <f aca="false">(I138-E138)/E138</f>
        <v>0.0987124463519313</v>
      </c>
      <c r="R138" s="12" t="s">
        <v>25</v>
      </c>
    </row>
    <row r="139" customFormat="false" ht="15" hidden="false" customHeight="false" outlineLevel="0" collapsed="false">
      <c r="A139" s="13" t="s">
        <v>287</v>
      </c>
      <c r="B139" s="14" t="s">
        <v>290</v>
      </c>
      <c r="C139" s="15" t="s">
        <v>63</v>
      </c>
      <c r="D139" s="14" t="s">
        <v>291</v>
      </c>
      <c r="E139" s="16" t="n">
        <v>9.72</v>
      </c>
      <c r="F139" s="16" t="n">
        <v>9.72</v>
      </c>
      <c r="G139" s="16" t="n">
        <v>9.91</v>
      </c>
      <c r="H139" s="16" t="n">
        <v>10.05</v>
      </c>
      <c r="I139" s="16" t="n">
        <v>9.99</v>
      </c>
      <c r="J139" s="9" t="s">
        <v>24</v>
      </c>
      <c r="K139" s="9" t="s">
        <v>24</v>
      </c>
      <c r="L139" s="9" t="s">
        <v>24</v>
      </c>
      <c r="M139" s="9" t="s">
        <v>24</v>
      </c>
      <c r="N139" s="9" t="s">
        <v>24</v>
      </c>
      <c r="O139" s="9" t="s">
        <v>24</v>
      </c>
      <c r="P139" s="10" t="n">
        <f aca="false">(I139/E139)^(1/4)-1</f>
        <v>0.00687325669604677</v>
      </c>
      <c r="Q139" s="11" t="n">
        <f aca="false">(I139-E139)/E139</f>
        <v>0.0277777777777777</v>
      </c>
      <c r="R139" s="12" t="s">
        <v>25</v>
      </c>
    </row>
    <row r="140" customFormat="false" ht="15" hidden="false" customHeight="false" outlineLevel="0" collapsed="false">
      <c r="A140" s="51" t="s">
        <v>287</v>
      </c>
      <c r="B140" s="52" t="s">
        <v>292</v>
      </c>
      <c r="C140" s="53" t="s">
        <v>60</v>
      </c>
      <c r="D140" s="52" t="s">
        <v>293</v>
      </c>
      <c r="E140" s="9" t="s">
        <v>24</v>
      </c>
      <c r="F140" s="9" t="s">
        <v>24</v>
      </c>
      <c r="G140" s="9" t="s">
        <v>24</v>
      </c>
      <c r="H140" s="9" t="s">
        <v>24</v>
      </c>
      <c r="I140" s="54" t="n">
        <v>29.96</v>
      </c>
      <c r="J140" s="54" t="n">
        <v>30.99</v>
      </c>
      <c r="K140" s="9" t="s">
        <v>24</v>
      </c>
      <c r="L140" s="9" t="s">
        <v>24</v>
      </c>
      <c r="M140" s="9" t="s">
        <v>24</v>
      </c>
      <c r="N140" s="9" t="s">
        <v>24</v>
      </c>
      <c r="O140" s="9" t="s">
        <v>24</v>
      </c>
      <c r="P140" s="10" t="n">
        <f aca="false">(J140/I140)^(1/1)-1</f>
        <v>0.0343791722296394</v>
      </c>
      <c r="Q140" s="11" t="n">
        <f aca="false">(J140-I140)/I140</f>
        <v>0.0343791722296394</v>
      </c>
      <c r="R140" s="12" t="s">
        <v>25</v>
      </c>
    </row>
    <row r="141" customFormat="false" ht="15" hidden="false" customHeight="false" outlineLevel="0" collapsed="false">
      <c r="A141" s="13" t="s">
        <v>287</v>
      </c>
      <c r="B141" s="14" t="s">
        <v>294</v>
      </c>
      <c r="C141" s="15" t="s">
        <v>63</v>
      </c>
      <c r="D141" s="14" t="s">
        <v>295</v>
      </c>
      <c r="E141" s="9" t="s">
        <v>24</v>
      </c>
      <c r="F141" s="9" t="s">
        <v>24</v>
      </c>
      <c r="G141" s="9" t="s">
        <v>24</v>
      </c>
      <c r="H141" s="9" t="s">
        <v>24</v>
      </c>
      <c r="I141" s="16" t="n">
        <v>9.55</v>
      </c>
      <c r="J141" s="16" t="n">
        <v>9.55</v>
      </c>
      <c r="K141" s="9" t="s">
        <v>24</v>
      </c>
      <c r="L141" s="9" t="s">
        <v>24</v>
      </c>
      <c r="M141" s="9" t="s">
        <v>24</v>
      </c>
      <c r="N141" s="9" t="s">
        <v>24</v>
      </c>
      <c r="O141" s="9" t="s">
        <v>24</v>
      </c>
      <c r="P141" s="10" t="n">
        <f aca="false">(J141/I141)^(1/1)-1</f>
        <v>0</v>
      </c>
      <c r="Q141" s="11" t="n">
        <f aca="false">(J141-I141)/I141</f>
        <v>0</v>
      </c>
      <c r="R141" s="12" t="s">
        <v>25</v>
      </c>
    </row>
    <row r="142" customFormat="false" ht="15" hidden="false" customHeight="false" outlineLevel="0" collapsed="false">
      <c r="A142" s="51" t="s">
        <v>287</v>
      </c>
      <c r="B142" s="52" t="s">
        <v>296</v>
      </c>
      <c r="C142" s="53" t="s">
        <v>63</v>
      </c>
      <c r="D142" s="52" t="s">
        <v>297</v>
      </c>
      <c r="E142" s="9" t="s">
        <v>24</v>
      </c>
      <c r="F142" s="9" t="s">
        <v>24</v>
      </c>
      <c r="G142" s="9" t="s">
        <v>24</v>
      </c>
      <c r="H142" s="9" t="s">
        <v>24</v>
      </c>
      <c r="I142" s="9" t="s">
        <v>24</v>
      </c>
      <c r="J142" s="9" t="s">
        <v>24</v>
      </c>
      <c r="K142" s="54" t="n">
        <v>4.99</v>
      </c>
      <c r="L142" s="54" t="n">
        <v>5.49</v>
      </c>
      <c r="M142" s="54" t="n">
        <v>5.99</v>
      </c>
      <c r="N142" s="54" t="n">
        <v>5.99</v>
      </c>
      <c r="O142" s="54" t="n">
        <v>5.99</v>
      </c>
      <c r="P142" s="10" t="n">
        <f aca="false">(O142/K142)^(1/4)-1</f>
        <v>0.0467225228317643</v>
      </c>
      <c r="Q142" s="11" t="n">
        <f aca="false">(O142-K142)/K142</f>
        <v>0.200400801603206</v>
      </c>
      <c r="R142" s="17" t="s">
        <v>28</v>
      </c>
    </row>
    <row r="143" customFormat="false" ht="15" hidden="false" customHeight="false" outlineLevel="0" collapsed="false">
      <c r="A143" s="4" t="s">
        <v>298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customFormat="false" ht="15" hidden="false" customHeight="false" outlineLevel="0" collapsed="false">
      <c r="A144" s="55" t="s">
        <v>298</v>
      </c>
      <c r="B144" s="56" t="s">
        <v>299</v>
      </c>
      <c r="C144" s="57" t="s">
        <v>49</v>
      </c>
      <c r="D144" s="56" t="s">
        <v>300</v>
      </c>
      <c r="E144" s="58" t="n">
        <v>9.49</v>
      </c>
      <c r="F144" s="58" t="n">
        <v>9.99</v>
      </c>
      <c r="G144" s="58" t="n">
        <v>10.45</v>
      </c>
      <c r="H144" s="58" t="n">
        <v>10.73</v>
      </c>
      <c r="I144" s="58" t="n">
        <v>10.99</v>
      </c>
      <c r="J144" s="58" t="n">
        <v>11.49</v>
      </c>
      <c r="K144" s="9" t="s">
        <v>24</v>
      </c>
      <c r="L144" s="9" t="s">
        <v>24</v>
      </c>
      <c r="M144" s="9" t="s">
        <v>24</v>
      </c>
      <c r="N144" s="9" t="s">
        <v>24</v>
      </c>
      <c r="O144" s="9" t="s">
        <v>24</v>
      </c>
      <c r="P144" s="10" t="n">
        <f aca="false">(J144/E144)^(1/5)-1</f>
        <v>0.038988554159217</v>
      </c>
      <c r="Q144" s="11" t="n">
        <f aca="false">(J144-E144)/E144</f>
        <v>0.210748155953635</v>
      </c>
      <c r="R144" s="12" t="s">
        <v>25</v>
      </c>
    </row>
    <row r="145" customFormat="false" ht="15" hidden="false" customHeight="false" outlineLevel="0" collapsed="false">
      <c r="A145" s="13" t="s">
        <v>298</v>
      </c>
      <c r="B145" s="14" t="s">
        <v>301</v>
      </c>
      <c r="C145" s="15" t="s">
        <v>232</v>
      </c>
      <c r="D145" s="14" t="s">
        <v>302</v>
      </c>
      <c r="E145" s="16" t="n">
        <v>15.49</v>
      </c>
      <c r="F145" s="16" t="n">
        <v>15.99</v>
      </c>
      <c r="G145" s="16" t="n">
        <v>16.49</v>
      </c>
      <c r="H145" s="16" t="n">
        <v>16.99</v>
      </c>
      <c r="I145" s="16" t="n">
        <v>17.99</v>
      </c>
      <c r="J145" s="16" t="n">
        <v>18.99</v>
      </c>
      <c r="K145" s="16" t="n">
        <v>19.99</v>
      </c>
      <c r="L145" s="16" t="n">
        <v>26.49</v>
      </c>
      <c r="M145" s="16" t="n">
        <v>27.99</v>
      </c>
      <c r="N145" s="16" t="n">
        <v>28.99</v>
      </c>
      <c r="O145" s="9" t="s">
        <v>24</v>
      </c>
      <c r="P145" s="10" t="n">
        <f aca="false">(N145/E145)^(1/9)-1</f>
        <v>0.0721217056685561</v>
      </c>
      <c r="Q145" s="11" t="n">
        <f aca="false">(N145-E145)/E145</f>
        <v>0.871530019367334</v>
      </c>
      <c r="R145" s="17" t="s">
        <v>28</v>
      </c>
    </row>
    <row r="146" customFormat="false" ht="15" hidden="false" customHeight="false" outlineLevel="0" collapsed="false">
      <c r="A146" s="55" t="s">
        <v>298</v>
      </c>
      <c r="B146" s="56" t="s">
        <v>303</v>
      </c>
      <c r="C146" s="57" t="s">
        <v>304</v>
      </c>
      <c r="D146" s="56" t="s">
        <v>305</v>
      </c>
      <c r="E146" s="58" t="n">
        <v>22.99</v>
      </c>
      <c r="F146" s="58" t="n">
        <v>23.99</v>
      </c>
      <c r="G146" s="58" t="n">
        <v>24.99</v>
      </c>
      <c r="H146" s="58" t="n">
        <v>26.99</v>
      </c>
      <c r="I146" s="58" t="n">
        <v>28.99</v>
      </c>
      <c r="J146" s="9" t="s">
        <v>24</v>
      </c>
      <c r="K146" s="9" t="s">
        <v>24</v>
      </c>
      <c r="L146" s="58" t="n">
        <v>34.99</v>
      </c>
      <c r="M146" s="58" t="n">
        <v>36.49</v>
      </c>
      <c r="N146" s="9" t="s">
        <v>24</v>
      </c>
      <c r="O146" s="9" t="s">
        <v>24</v>
      </c>
      <c r="P146" s="10" t="n">
        <f aca="false">(M146/E146)^(1/8)-1</f>
        <v>0.0594473073246413</v>
      </c>
      <c r="Q146" s="11" t="n">
        <f aca="false">(M146-E146)/E146</f>
        <v>0.58721183123097</v>
      </c>
      <c r="R146" s="12" t="s">
        <v>25</v>
      </c>
    </row>
    <row r="147" customFormat="false" ht="15" hidden="false" customHeight="false" outlineLevel="0" collapsed="false">
      <c r="A147" s="13" t="s">
        <v>298</v>
      </c>
      <c r="B147" s="14" t="s">
        <v>306</v>
      </c>
      <c r="C147" s="15" t="s">
        <v>32</v>
      </c>
      <c r="D147" s="14" t="s">
        <v>307</v>
      </c>
      <c r="E147" s="16" t="n">
        <v>6.29</v>
      </c>
      <c r="F147" s="16" t="n">
        <v>6.49</v>
      </c>
      <c r="G147" s="16" t="n">
        <v>6.69</v>
      </c>
      <c r="H147" s="16" t="n">
        <v>6.75</v>
      </c>
      <c r="I147" s="9" t="s">
        <v>24</v>
      </c>
      <c r="J147" s="9" t="s">
        <v>24</v>
      </c>
      <c r="K147" s="9" t="s">
        <v>24</v>
      </c>
      <c r="L147" s="9" t="s">
        <v>24</v>
      </c>
      <c r="M147" s="9" t="s">
        <v>24</v>
      </c>
      <c r="N147" s="9" t="s">
        <v>24</v>
      </c>
      <c r="O147" s="9" t="s">
        <v>24</v>
      </c>
      <c r="P147" s="10" t="n">
        <f aca="false">(H147/E147)^(1/3)-1</f>
        <v>0.0238060913032525</v>
      </c>
      <c r="Q147" s="11" t="n">
        <f aca="false">(H147-E147)/E147</f>
        <v>0.0731319554848967</v>
      </c>
      <c r="R147" s="12" t="s">
        <v>25</v>
      </c>
    </row>
    <row r="148" customFormat="false" ht="15" hidden="false" customHeight="false" outlineLevel="0" collapsed="false">
      <c r="A148" s="55" t="s">
        <v>298</v>
      </c>
      <c r="B148" s="56" t="s">
        <v>308</v>
      </c>
      <c r="C148" s="57" t="s">
        <v>63</v>
      </c>
      <c r="D148" s="56" t="s">
        <v>274</v>
      </c>
      <c r="E148" s="58" t="n">
        <v>17.99</v>
      </c>
      <c r="F148" s="58" t="n">
        <v>18.49</v>
      </c>
      <c r="G148" s="9" t="s">
        <v>24</v>
      </c>
      <c r="H148" s="9" t="s">
        <v>24</v>
      </c>
      <c r="I148" s="9" t="s">
        <v>24</v>
      </c>
      <c r="J148" s="9" t="s">
        <v>24</v>
      </c>
      <c r="K148" s="9" t="s">
        <v>24</v>
      </c>
      <c r="L148" s="9" t="s">
        <v>24</v>
      </c>
      <c r="M148" s="9" t="s">
        <v>24</v>
      </c>
      <c r="N148" s="9" t="s">
        <v>24</v>
      </c>
      <c r="O148" s="9" t="s">
        <v>24</v>
      </c>
      <c r="P148" s="10" t="n">
        <f aca="false">(F148/E148)^(1/1)-1</f>
        <v>0.027793218454697</v>
      </c>
      <c r="Q148" s="11" t="n">
        <f aca="false">(F148-E148)/E148</f>
        <v>0.0277932184546971</v>
      </c>
      <c r="R148" s="12" t="s">
        <v>25</v>
      </c>
    </row>
    <row r="149" customFormat="false" ht="15" hidden="false" customHeight="false" outlineLevel="0" collapsed="false">
      <c r="A149" s="13" t="s">
        <v>298</v>
      </c>
      <c r="B149" s="14" t="s">
        <v>309</v>
      </c>
      <c r="C149" s="15" t="s">
        <v>115</v>
      </c>
      <c r="D149" s="14" t="s">
        <v>170</v>
      </c>
      <c r="E149" s="9" t="s">
        <v>24</v>
      </c>
      <c r="F149" s="9" t="s">
        <v>24</v>
      </c>
      <c r="G149" s="9" t="s">
        <v>24</v>
      </c>
      <c r="H149" s="16" t="n">
        <v>34.49</v>
      </c>
      <c r="I149" s="16" t="n">
        <v>36.46</v>
      </c>
      <c r="J149" s="16" t="n">
        <v>36.46</v>
      </c>
      <c r="K149" s="9" t="s">
        <v>24</v>
      </c>
      <c r="L149" s="9" t="s">
        <v>24</v>
      </c>
      <c r="M149" s="9" t="s">
        <v>24</v>
      </c>
      <c r="N149" s="9" t="s">
        <v>24</v>
      </c>
      <c r="O149" s="9" t="s">
        <v>24</v>
      </c>
      <c r="P149" s="10" t="n">
        <f aca="false">(J149/H149)^(1/2)-1</f>
        <v>0.0281624410660526</v>
      </c>
      <c r="Q149" s="11" t="n">
        <f aca="false">(J149-H149)/H149</f>
        <v>0.057118005218904</v>
      </c>
      <c r="R149" s="12" t="s">
        <v>25</v>
      </c>
    </row>
    <row r="150" customFormat="false" ht="15" hidden="false" customHeight="false" outlineLevel="0" collapsed="false">
      <c r="A150" s="55" t="s">
        <v>298</v>
      </c>
      <c r="B150" s="56" t="s">
        <v>310</v>
      </c>
      <c r="C150" s="57" t="s">
        <v>60</v>
      </c>
      <c r="D150" s="56" t="s">
        <v>113</v>
      </c>
      <c r="E150" s="9" t="s">
        <v>24</v>
      </c>
      <c r="F150" s="9" t="s">
        <v>24</v>
      </c>
      <c r="G150" s="9" t="s">
        <v>24</v>
      </c>
      <c r="H150" s="9" t="s">
        <v>24</v>
      </c>
      <c r="I150" s="9" t="s">
        <v>24</v>
      </c>
      <c r="J150" s="9" t="s">
        <v>24</v>
      </c>
      <c r="K150" s="58" t="n">
        <v>10.49</v>
      </c>
      <c r="L150" s="58" t="n">
        <v>10.99</v>
      </c>
      <c r="M150" s="58" t="n">
        <v>11.49</v>
      </c>
      <c r="N150" s="58" t="n">
        <v>11.49</v>
      </c>
      <c r="O150" s="58" t="n">
        <v>11.49</v>
      </c>
      <c r="P150" s="10" t="n">
        <f aca="false">(O150/K150)^(1/4)-1</f>
        <v>0.0230247368417507</v>
      </c>
      <c r="Q150" s="11" t="n">
        <f aca="false">(O150-K150)/K150</f>
        <v>0.0953288846520496</v>
      </c>
      <c r="R150" s="17" t="s">
        <v>28</v>
      </c>
    </row>
    <row r="151" customFormat="false" ht="15" hidden="false" customHeight="false" outlineLevel="0" collapsed="false">
      <c r="A151" s="13" t="s">
        <v>298</v>
      </c>
      <c r="B151" s="14" t="s">
        <v>311</v>
      </c>
      <c r="C151" s="15" t="s">
        <v>49</v>
      </c>
      <c r="D151" s="14" t="s">
        <v>312</v>
      </c>
      <c r="E151" s="9" t="s">
        <v>24</v>
      </c>
      <c r="F151" s="9" t="s">
        <v>24</v>
      </c>
      <c r="G151" s="9" t="s">
        <v>24</v>
      </c>
      <c r="H151" s="9" t="s">
        <v>24</v>
      </c>
      <c r="I151" s="9" t="s">
        <v>24</v>
      </c>
      <c r="J151" s="9" t="s">
        <v>24</v>
      </c>
      <c r="K151" s="9" t="s">
        <v>24</v>
      </c>
      <c r="L151" s="16" t="n">
        <v>10.69</v>
      </c>
      <c r="M151" s="16" t="n">
        <v>10.69</v>
      </c>
      <c r="N151" s="16" t="n">
        <v>10.69</v>
      </c>
      <c r="O151" s="9" t="s">
        <v>24</v>
      </c>
      <c r="P151" s="10" t="n">
        <f aca="false">(N151/L151)^(1/2)-1</f>
        <v>0</v>
      </c>
      <c r="Q151" s="11" t="n">
        <f aca="false">(N151-L151)/L151</f>
        <v>0</v>
      </c>
      <c r="R151" s="17" t="s">
        <v>28</v>
      </c>
    </row>
    <row r="152" customFormat="false" ht="15" hidden="false" customHeight="false" outlineLevel="0" collapsed="false">
      <c r="A152" s="55" t="s">
        <v>298</v>
      </c>
      <c r="B152" s="56" t="s">
        <v>313</v>
      </c>
      <c r="C152" s="57" t="s">
        <v>63</v>
      </c>
      <c r="D152" s="56" t="s">
        <v>206</v>
      </c>
      <c r="E152" s="9" t="s">
        <v>24</v>
      </c>
      <c r="F152" s="9" t="s">
        <v>24</v>
      </c>
      <c r="G152" s="9" t="s">
        <v>24</v>
      </c>
      <c r="H152" s="9" t="s">
        <v>24</v>
      </c>
      <c r="I152" s="9" t="s">
        <v>24</v>
      </c>
      <c r="J152" s="9" t="s">
        <v>24</v>
      </c>
      <c r="K152" s="9" t="s">
        <v>24</v>
      </c>
      <c r="L152" s="9" t="s">
        <v>24</v>
      </c>
      <c r="M152" s="9" t="s">
        <v>24</v>
      </c>
      <c r="N152" s="58" t="n">
        <v>7.89</v>
      </c>
      <c r="O152" s="58" t="n">
        <v>7.89</v>
      </c>
      <c r="P152" s="10" t="n">
        <f aca="false">(O152/N152)^(1/1)-1</f>
        <v>0</v>
      </c>
      <c r="Q152" s="11" t="n">
        <f aca="false">(O152-N152)/N152</f>
        <v>0</v>
      </c>
      <c r="R152" s="17" t="s">
        <v>28</v>
      </c>
    </row>
    <row r="153" customFormat="false" ht="15" hidden="false" customHeight="false" outlineLevel="0" collapsed="false">
      <c r="A153" s="4" t="s">
        <v>314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customFormat="false" ht="15" hidden="false" customHeight="false" outlineLevel="0" collapsed="false">
      <c r="A154" s="59" t="s">
        <v>314</v>
      </c>
      <c r="B154" s="60" t="s">
        <v>315</v>
      </c>
      <c r="C154" s="61" t="s">
        <v>32</v>
      </c>
      <c r="D154" s="60" t="s">
        <v>316</v>
      </c>
      <c r="E154" s="62" t="n">
        <v>5.57</v>
      </c>
      <c r="F154" s="62" t="n">
        <v>5.8</v>
      </c>
      <c r="G154" s="62" t="n">
        <v>6</v>
      </c>
      <c r="H154" s="62" t="n">
        <v>6.52</v>
      </c>
      <c r="I154" s="62" t="n">
        <v>6.79</v>
      </c>
      <c r="J154" s="62" t="n">
        <v>7.14</v>
      </c>
      <c r="K154" s="9" t="s">
        <v>24</v>
      </c>
      <c r="L154" s="9" t="s">
        <v>24</v>
      </c>
      <c r="M154" s="9" t="s">
        <v>24</v>
      </c>
      <c r="N154" s="9" t="s">
        <v>24</v>
      </c>
      <c r="O154" s="9" t="s">
        <v>24</v>
      </c>
      <c r="P154" s="10" t="n">
        <f aca="false">(J154/E154)^(1/5)-1</f>
        <v>0.0509174499117062</v>
      </c>
      <c r="Q154" s="11" t="n">
        <f aca="false">(J154-E154)/E154</f>
        <v>0.281867145421903</v>
      </c>
      <c r="R154" s="12" t="s">
        <v>25</v>
      </c>
    </row>
    <row r="155" customFormat="false" ht="15" hidden="false" customHeight="false" outlineLevel="0" collapsed="false">
      <c r="A155" s="13" t="s">
        <v>314</v>
      </c>
      <c r="B155" s="14" t="s">
        <v>317</v>
      </c>
      <c r="C155" s="15" t="s">
        <v>49</v>
      </c>
      <c r="D155" s="14" t="s">
        <v>318</v>
      </c>
      <c r="E155" s="9" t="s">
        <v>24</v>
      </c>
      <c r="F155" s="16" t="n">
        <v>5.84</v>
      </c>
      <c r="G155" s="16" t="n">
        <v>5.84</v>
      </c>
      <c r="H155" s="16" t="n">
        <v>6.28</v>
      </c>
      <c r="I155" s="16" t="n">
        <v>6.99</v>
      </c>
      <c r="J155" s="16" t="n">
        <v>7.23</v>
      </c>
      <c r="K155" s="9" t="s">
        <v>24</v>
      </c>
      <c r="L155" s="9" t="s">
        <v>24</v>
      </c>
      <c r="M155" s="9" t="s">
        <v>24</v>
      </c>
      <c r="N155" s="9" t="s">
        <v>24</v>
      </c>
      <c r="O155" s="9" t="s">
        <v>24</v>
      </c>
      <c r="P155" s="10" t="n">
        <f aca="false">(J155/F155)^(1/4)-1</f>
        <v>0.0548273031505933</v>
      </c>
      <c r="Q155" s="11" t="n">
        <f aca="false">(J155-F155)/F155</f>
        <v>0.238013698630137</v>
      </c>
      <c r="R155" s="12" t="s">
        <v>25</v>
      </c>
    </row>
    <row r="156" customFormat="false" ht="15" hidden="false" customHeight="false" outlineLevel="0" collapsed="false">
      <c r="A156" s="59" t="s">
        <v>314</v>
      </c>
      <c r="B156" s="60" t="s">
        <v>319</v>
      </c>
      <c r="C156" s="61" t="s">
        <v>49</v>
      </c>
      <c r="D156" s="60" t="s">
        <v>320</v>
      </c>
      <c r="E156" s="62" t="n">
        <v>8.36</v>
      </c>
      <c r="F156" s="62" t="n">
        <v>8.87</v>
      </c>
      <c r="G156" s="62" t="n">
        <v>8.87</v>
      </c>
      <c r="H156" s="62" t="n">
        <v>9.3</v>
      </c>
      <c r="I156" s="62" t="n">
        <v>9.3</v>
      </c>
      <c r="J156" s="62" t="n">
        <v>9.3</v>
      </c>
      <c r="K156" s="9" t="s">
        <v>24</v>
      </c>
      <c r="L156" s="9" t="s">
        <v>24</v>
      </c>
      <c r="M156" s="9" t="s">
        <v>24</v>
      </c>
      <c r="N156" s="9" t="s">
        <v>24</v>
      </c>
      <c r="O156" s="9" t="s">
        <v>24</v>
      </c>
      <c r="P156" s="10" t="n">
        <f aca="false">(J156/E156)^(1/5)-1</f>
        <v>0.021539899891952</v>
      </c>
      <c r="Q156" s="11" t="n">
        <f aca="false">(J156-E156)/E156</f>
        <v>0.11244019138756</v>
      </c>
      <c r="R156" s="12" t="s">
        <v>25</v>
      </c>
    </row>
    <row r="157" customFormat="false" ht="15" hidden="false" customHeight="false" outlineLevel="0" collapsed="false">
      <c r="A157" s="13" t="s">
        <v>314</v>
      </c>
      <c r="B157" s="14" t="s">
        <v>321</v>
      </c>
      <c r="C157" s="15" t="s">
        <v>46</v>
      </c>
      <c r="D157" s="14" t="s">
        <v>127</v>
      </c>
      <c r="E157" s="16" t="n">
        <v>13.83</v>
      </c>
      <c r="F157" s="16" t="n">
        <v>14.09</v>
      </c>
      <c r="G157" s="16" t="n">
        <v>14.48</v>
      </c>
      <c r="H157" s="9" t="s">
        <v>24</v>
      </c>
      <c r="I157" s="9" t="s">
        <v>24</v>
      </c>
      <c r="J157" s="9" t="s">
        <v>24</v>
      </c>
      <c r="K157" s="9" t="s">
        <v>24</v>
      </c>
      <c r="L157" s="9" t="s">
        <v>24</v>
      </c>
      <c r="M157" s="9" t="s">
        <v>24</v>
      </c>
      <c r="N157" s="9" t="s">
        <v>24</v>
      </c>
      <c r="O157" s="9" t="s">
        <v>24</v>
      </c>
      <c r="P157" s="10" t="n">
        <f aca="false">(G157/E157)^(1/2)-1</f>
        <v>0.0232298260577637</v>
      </c>
      <c r="Q157" s="11" t="n">
        <f aca="false">(G157-E157)/E157</f>
        <v>0.046999276934201</v>
      </c>
      <c r="R157" s="12" t="s">
        <v>25</v>
      </c>
    </row>
    <row r="158" customFormat="false" ht="15" hidden="false" customHeight="false" outlineLevel="0" collapsed="false">
      <c r="A158" s="59" t="s">
        <v>314</v>
      </c>
      <c r="B158" s="60" t="s">
        <v>322</v>
      </c>
      <c r="C158" s="61" t="s">
        <v>232</v>
      </c>
      <c r="D158" s="60" t="s">
        <v>168</v>
      </c>
      <c r="E158" s="9" t="s">
        <v>24</v>
      </c>
      <c r="F158" s="9" t="s">
        <v>24</v>
      </c>
      <c r="G158" s="9" t="s">
        <v>24</v>
      </c>
      <c r="H158" s="62" t="n">
        <v>29.75</v>
      </c>
      <c r="I158" s="62" t="n">
        <v>31.9</v>
      </c>
      <c r="J158" s="9" t="s">
        <v>24</v>
      </c>
      <c r="K158" s="9" t="s">
        <v>24</v>
      </c>
      <c r="L158" s="9" t="s">
        <v>24</v>
      </c>
      <c r="M158" s="9" t="s">
        <v>24</v>
      </c>
      <c r="N158" s="9" t="s">
        <v>24</v>
      </c>
      <c r="O158" s="9" t="s">
        <v>24</v>
      </c>
      <c r="P158" s="10" t="n">
        <f aca="false">(I158/H158)^(1/1)-1</f>
        <v>0.0722689075630252</v>
      </c>
      <c r="Q158" s="11" t="n">
        <f aca="false">(I158-H158)/H158</f>
        <v>0.0722689075630252</v>
      </c>
      <c r="R158" s="12" t="s">
        <v>25</v>
      </c>
    </row>
    <row r="159" customFormat="false" ht="15" hidden="false" customHeight="false" outlineLevel="0" collapsed="false">
      <c r="A159" s="13" t="s">
        <v>314</v>
      </c>
      <c r="B159" s="14" t="s">
        <v>323</v>
      </c>
      <c r="C159" s="15" t="s">
        <v>60</v>
      </c>
      <c r="D159" s="14" t="s">
        <v>324</v>
      </c>
      <c r="E159" s="9" t="s">
        <v>24</v>
      </c>
      <c r="F159" s="9" t="s">
        <v>24</v>
      </c>
      <c r="G159" s="9" t="s">
        <v>24</v>
      </c>
      <c r="H159" s="16" t="n">
        <v>27.68</v>
      </c>
      <c r="I159" s="16" t="n">
        <v>29.99</v>
      </c>
      <c r="J159" s="16" t="n">
        <v>29.99</v>
      </c>
      <c r="K159" s="9" t="s">
        <v>24</v>
      </c>
      <c r="L159" s="9" t="s">
        <v>24</v>
      </c>
      <c r="M159" s="9" t="s">
        <v>24</v>
      </c>
      <c r="N159" s="9" t="s">
        <v>24</v>
      </c>
      <c r="O159" s="9" t="s">
        <v>24</v>
      </c>
      <c r="P159" s="10" t="n">
        <f aca="false">(J159/H159)^(1/2)-1</f>
        <v>0.0408908478920513</v>
      </c>
      <c r="Q159" s="11" t="n">
        <f aca="false">(J159-H159)/H159</f>
        <v>0.0834537572254335</v>
      </c>
      <c r="R159" s="12" t="s">
        <v>25</v>
      </c>
    </row>
    <row r="160" customFormat="false" ht="15" hidden="false" customHeight="false" outlineLevel="0" collapsed="false">
      <c r="A160" s="59" t="s">
        <v>314</v>
      </c>
      <c r="B160" s="60" t="s">
        <v>325</v>
      </c>
      <c r="C160" s="61" t="s">
        <v>63</v>
      </c>
      <c r="D160" s="60" t="s">
        <v>326</v>
      </c>
      <c r="E160" s="9" t="s">
        <v>24</v>
      </c>
      <c r="F160" s="9" t="s">
        <v>24</v>
      </c>
      <c r="G160" s="9" t="s">
        <v>24</v>
      </c>
      <c r="H160" s="9" t="s">
        <v>24</v>
      </c>
      <c r="I160" s="9" t="s">
        <v>24</v>
      </c>
      <c r="J160" s="9" t="s">
        <v>24</v>
      </c>
      <c r="K160" s="9" t="s">
        <v>24</v>
      </c>
      <c r="L160" s="62" t="n">
        <v>10.49</v>
      </c>
      <c r="M160" s="62" t="n">
        <v>10.99</v>
      </c>
      <c r="N160" s="62" t="n">
        <v>11.24</v>
      </c>
      <c r="O160" s="62" t="n">
        <v>11.24</v>
      </c>
      <c r="P160" s="10" t="n">
        <f aca="false">(O160/L160)^(1/3)-1</f>
        <v>0.0232857846626477</v>
      </c>
      <c r="Q160" s="11" t="n">
        <f aca="false">(O160-L160)/L160</f>
        <v>0.0714966634890372</v>
      </c>
      <c r="R160" s="17" t="s">
        <v>28</v>
      </c>
    </row>
    <row r="161" customFormat="false" ht="15" hidden="false" customHeight="false" outlineLevel="0" collapsed="false">
      <c r="A161" s="13" t="s">
        <v>314</v>
      </c>
      <c r="B161" s="14" t="s">
        <v>327</v>
      </c>
      <c r="C161" s="15" t="s">
        <v>49</v>
      </c>
      <c r="D161" s="14" t="s">
        <v>328</v>
      </c>
      <c r="E161" s="9" t="s">
        <v>24</v>
      </c>
      <c r="F161" s="9" t="s">
        <v>24</v>
      </c>
      <c r="G161" s="9" t="s">
        <v>24</v>
      </c>
      <c r="H161" s="9" t="s">
        <v>24</v>
      </c>
      <c r="I161" s="9" t="s">
        <v>24</v>
      </c>
      <c r="J161" s="9" t="s">
        <v>24</v>
      </c>
      <c r="K161" s="9" t="s">
        <v>24</v>
      </c>
      <c r="L161" s="16" t="n">
        <v>11.21</v>
      </c>
      <c r="M161" s="16" t="n">
        <v>11.21</v>
      </c>
      <c r="N161" s="16" t="n">
        <v>11.21</v>
      </c>
      <c r="O161" s="16" t="n">
        <v>11.21</v>
      </c>
      <c r="P161" s="10" t="n">
        <f aca="false">(O161/L161)^(1/3)-1</f>
        <v>0</v>
      </c>
      <c r="Q161" s="11" t="n">
        <f aca="false">(O161-L161)/L161</f>
        <v>0</v>
      </c>
      <c r="R161" s="17" t="s">
        <v>28</v>
      </c>
    </row>
    <row r="162" customFormat="false" ht="15" hidden="false" customHeight="false" outlineLevel="0" collapsed="false">
      <c r="A162" s="59" t="s">
        <v>314</v>
      </c>
      <c r="B162" s="60" t="s">
        <v>329</v>
      </c>
      <c r="C162" s="61" t="s">
        <v>60</v>
      </c>
      <c r="D162" s="60" t="s">
        <v>330</v>
      </c>
      <c r="E162" s="9" t="s">
        <v>24</v>
      </c>
      <c r="F162" s="9" t="s">
        <v>24</v>
      </c>
      <c r="G162" s="9" t="s">
        <v>24</v>
      </c>
      <c r="H162" s="9" t="s">
        <v>24</v>
      </c>
      <c r="I162" s="9" t="s">
        <v>24</v>
      </c>
      <c r="J162" s="9" t="s">
        <v>24</v>
      </c>
      <c r="K162" s="9" t="s">
        <v>24</v>
      </c>
      <c r="L162" s="9" t="s">
        <v>24</v>
      </c>
      <c r="M162" s="9" t="s">
        <v>24</v>
      </c>
      <c r="N162" s="62" t="n">
        <v>34.99</v>
      </c>
      <c r="O162" s="62" t="n">
        <v>34.99</v>
      </c>
      <c r="P162" s="10" t="n">
        <f aca="false">(O162/N162)^(1/1)-1</f>
        <v>0</v>
      </c>
      <c r="Q162" s="11" t="n">
        <f aca="false">(O162-N162)/N162</f>
        <v>0</v>
      </c>
      <c r="R162" s="17" t="s">
        <v>28</v>
      </c>
    </row>
    <row r="163" customFormat="false" ht="15" hidden="false" customHeight="false" outlineLevel="0" collapsed="false">
      <c r="A163" s="4" t="s">
        <v>331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customFormat="false" ht="15" hidden="false" customHeight="false" outlineLevel="0" collapsed="false">
      <c r="A164" s="63" t="s">
        <v>331</v>
      </c>
      <c r="B164" s="64" t="s">
        <v>332</v>
      </c>
      <c r="C164" s="65" t="s">
        <v>60</v>
      </c>
      <c r="D164" s="64" t="s">
        <v>333</v>
      </c>
      <c r="E164" s="9" t="s">
        <v>24</v>
      </c>
      <c r="F164" s="66" t="n">
        <v>14.95</v>
      </c>
      <c r="G164" s="66" t="n">
        <v>15.06</v>
      </c>
      <c r="H164" s="66" t="n">
        <v>15</v>
      </c>
      <c r="I164" s="66" t="n">
        <v>16.25</v>
      </c>
      <c r="J164" s="66" t="n">
        <v>16.49</v>
      </c>
      <c r="K164" s="66" t="n">
        <v>16.49</v>
      </c>
      <c r="L164" s="66" t="n">
        <v>18.99</v>
      </c>
      <c r="M164" s="66" t="n">
        <v>18.99</v>
      </c>
      <c r="N164" s="66" t="n">
        <v>19.19</v>
      </c>
      <c r="O164" s="66" t="n">
        <v>20.49</v>
      </c>
      <c r="P164" s="10" t="n">
        <f aca="false">(O164/F164)^(1/9)-1</f>
        <v>0.0356456758411201</v>
      </c>
      <c r="Q164" s="11" t="n">
        <f aca="false">(O164-F164)/F164</f>
        <v>0.37056856187291</v>
      </c>
      <c r="R164" s="17" t="s">
        <v>28</v>
      </c>
    </row>
    <row r="165" customFormat="false" ht="15" hidden="false" customHeight="false" outlineLevel="0" collapsed="false">
      <c r="A165" s="13" t="s">
        <v>331</v>
      </c>
      <c r="B165" s="14" t="s">
        <v>334</v>
      </c>
      <c r="C165" s="15" t="s">
        <v>112</v>
      </c>
      <c r="D165" s="14" t="s">
        <v>335</v>
      </c>
      <c r="E165" s="9" t="s">
        <v>24</v>
      </c>
      <c r="F165" s="9" t="s">
        <v>24</v>
      </c>
      <c r="G165" s="9" t="s">
        <v>24</v>
      </c>
      <c r="H165" s="9" t="s">
        <v>24</v>
      </c>
      <c r="I165" s="9" t="s">
        <v>24</v>
      </c>
      <c r="J165" s="9" t="s">
        <v>24</v>
      </c>
      <c r="K165" s="9" t="s">
        <v>24</v>
      </c>
      <c r="L165" s="16" t="n">
        <v>29.9</v>
      </c>
      <c r="M165" s="16" t="n">
        <v>29.9</v>
      </c>
      <c r="N165" s="16" t="n">
        <v>29.9</v>
      </c>
      <c r="O165" s="9" t="s">
        <v>24</v>
      </c>
      <c r="P165" s="10" t="n">
        <f aca="false">(N165/L165)^(1/2)-1</f>
        <v>0</v>
      </c>
      <c r="Q165" s="11" t="n">
        <f aca="false">(N165-L165)/L165</f>
        <v>0</v>
      </c>
      <c r="R165" s="17" t="s">
        <v>28</v>
      </c>
    </row>
    <row r="166" customFormat="false" ht="15" hidden="false" customHeight="false" outlineLevel="0" collapsed="false">
      <c r="A166" s="63" t="s">
        <v>331</v>
      </c>
      <c r="B166" s="64" t="s">
        <v>336</v>
      </c>
      <c r="C166" s="65" t="s">
        <v>74</v>
      </c>
      <c r="D166" s="64" t="s">
        <v>337</v>
      </c>
      <c r="E166" s="9" t="s">
        <v>24</v>
      </c>
      <c r="F166" s="9" t="s">
        <v>24</v>
      </c>
      <c r="G166" s="9" t="s">
        <v>24</v>
      </c>
      <c r="H166" s="9" t="s">
        <v>24</v>
      </c>
      <c r="I166" s="9" t="s">
        <v>24</v>
      </c>
      <c r="J166" s="9" t="s">
        <v>24</v>
      </c>
      <c r="K166" s="66" t="n">
        <v>53.9</v>
      </c>
      <c r="L166" s="66" t="n">
        <v>57.89</v>
      </c>
      <c r="M166" s="66" t="n">
        <v>57.89</v>
      </c>
      <c r="N166" s="66" t="n">
        <v>67.65</v>
      </c>
      <c r="O166" s="66" t="n">
        <v>67.65</v>
      </c>
      <c r="P166" s="10" t="n">
        <f aca="false">(O166/K166)^(1/4)-1</f>
        <v>0.0584485661759224</v>
      </c>
      <c r="Q166" s="11" t="n">
        <f aca="false">(O166-K166)/K166</f>
        <v>0.255102040816327</v>
      </c>
      <c r="R166" s="17" t="s">
        <v>28</v>
      </c>
    </row>
    <row r="167" customFormat="false" ht="15" hidden="false" customHeight="false" outlineLevel="0" collapsed="false">
      <c r="A167" s="13" t="s">
        <v>331</v>
      </c>
      <c r="B167" s="14" t="s">
        <v>338</v>
      </c>
      <c r="C167" s="15" t="s">
        <v>224</v>
      </c>
      <c r="D167" s="14" t="s">
        <v>339</v>
      </c>
      <c r="E167" s="9" t="s">
        <v>24</v>
      </c>
      <c r="F167" s="9" t="s">
        <v>24</v>
      </c>
      <c r="G167" s="9" t="s">
        <v>24</v>
      </c>
      <c r="H167" s="9" t="s">
        <v>24</v>
      </c>
      <c r="I167" s="9" t="s">
        <v>24</v>
      </c>
      <c r="J167" s="9" t="s">
        <v>24</v>
      </c>
      <c r="K167" s="9" t="s">
        <v>24</v>
      </c>
      <c r="L167" s="16" t="n">
        <v>77.5</v>
      </c>
      <c r="M167" s="16" t="n">
        <v>77.5</v>
      </c>
      <c r="N167" s="16" t="n">
        <v>77.5</v>
      </c>
      <c r="O167" s="9" t="s">
        <v>24</v>
      </c>
      <c r="P167" s="10" t="n">
        <f aca="false">(N167/L167)^(1/2)-1</f>
        <v>0</v>
      </c>
      <c r="Q167" s="11" t="n">
        <f aca="false">(N167-L167)/L167</f>
        <v>0</v>
      </c>
      <c r="R167" s="17" t="s">
        <v>28</v>
      </c>
    </row>
    <row r="168" customFormat="false" ht="15" hidden="false" customHeight="false" outlineLevel="0" collapsed="false">
      <c r="A168" s="63" t="s">
        <v>331</v>
      </c>
      <c r="B168" s="64" t="s">
        <v>340</v>
      </c>
      <c r="C168" s="65" t="s">
        <v>63</v>
      </c>
      <c r="D168" s="64" t="s">
        <v>341</v>
      </c>
      <c r="E168" s="9" t="s">
        <v>24</v>
      </c>
      <c r="F168" s="9" t="s">
        <v>24</v>
      </c>
      <c r="G168" s="9" t="s">
        <v>24</v>
      </c>
      <c r="H168" s="9" t="s">
        <v>24</v>
      </c>
      <c r="I168" s="9" t="s">
        <v>24</v>
      </c>
      <c r="J168" s="9" t="s">
        <v>24</v>
      </c>
      <c r="K168" s="9" t="s">
        <v>24</v>
      </c>
      <c r="L168" s="9" t="s">
        <v>24</v>
      </c>
      <c r="M168" s="9" t="s">
        <v>24</v>
      </c>
      <c r="N168" s="9" t="s">
        <v>24</v>
      </c>
      <c r="O168" s="66" t="n">
        <v>18.49</v>
      </c>
      <c r="P168" s="18" t="s">
        <v>24</v>
      </c>
      <c r="Q168" s="18" t="s">
        <v>24</v>
      </c>
      <c r="R168" s="17" t="s">
        <v>28</v>
      </c>
    </row>
    <row r="169" customFormat="false" ht="15" hidden="false" customHeight="false" outlineLevel="0" collapsed="false">
      <c r="A169" s="4" t="s">
        <v>342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customFormat="false" ht="15" hidden="false" customHeight="false" outlineLevel="0" collapsed="false">
      <c r="A170" s="67" t="s">
        <v>342</v>
      </c>
      <c r="B170" s="68" t="s">
        <v>343</v>
      </c>
      <c r="C170" s="69" t="s">
        <v>32</v>
      </c>
      <c r="D170" s="68" t="s">
        <v>344</v>
      </c>
      <c r="E170" s="70" t="n">
        <v>4.29</v>
      </c>
      <c r="F170" s="70" t="n">
        <v>4.59</v>
      </c>
      <c r="G170" s="70" t="n">
        <v>5</v>
      </c>
      <c r="H170" s="70" t="n">
        <v>5.19</v>
      </c>
      <c r="I170" s="70" t="n">
        <v>5.63</v>
      </c>
      <c r="J170" s="70" t="n">
        <v>5.63</v>
      </c>
      <c r="K170" s="9" t="s">
        <v>24</v>
      </c>
      <c r="L170" s="9" t="s">
        <v>24</v>
      </c>
      <c r="M170" s="9" t="s">
        <v>24</v>
      </c>
      <c r="N170" s="9" t="s">
        <v>24</v>
      </c>
      <c r="O170" s="9" t="s">
        <v>24</v>
      </c>
      <c r="P170" s="10" t="n">
        <f aca="false">(J170/E170)^(1/5)-1</f>
        <v>0.055869440597101</v>
      </c>
      <c r="Q170" s="11" t="n">
        <f aca="false">(J170-E170)/E170</f>
        <v>0.312354312354312</v>
      </c>
      <c r="R170" s="12" t="s">
        <v>25</v>
      </c>
    </row>
    <row r="171" customFormat="false" ht="15" hidden="false" customHeight="false" outlineLevel="0" collapsed="false">
      <c r="A171" s="13" t="s">
        <v>342</v>
      </c>
      <c r="B171" s="14" t="s">
        <v>345</v>
      </c>
      <c r="C171" s="15" t="s">
        <v>49</v>
      </c>
      <c r="D171" s="14" t="s">
        <v>344</v>
      </c>
      <c r="E171" s="16" t="n">
        <v>5.49</v>
      </c>
      <c r="F171" s="16" t="n">
        <v>5.75</v>
      </c>
      <c r="G171" s="16" t="n">
        <v>5.89</v>
      </c>
      <c r="H171" s="16" t="n">
        <v>6.1</v>
      </c>
      <c r="I171" s="16" t="n">
        <v>6.1</v>
      </c>
      <c r="J171" s="16" t="n">
        <v>6.54</v>
      </c>
      <c r="K171" s="9" t="s">
        <v>24</v>
      </c>
      <c r="L171" s="9" t="s">
        <v>24</v>
      </c>
      <c r="M171" s="9" t="s">
        <v>24</v>
      </c>
      <c r="N171" s="9" t="s">
        <v>24</v>
      </c>
      <c r="O171" s="9" t="s">
        <v>24</v>
      </c>
      <c r="P171" s="10" t="n">
        <f aca="false">(J171/E171)^(1/5)-1</f>
        <v>0.0356215542647496</v>
      </c>
      <c r="Q171" s="11" t="n">
        <f aca="false">(J171-E171)/E171</f>
        <v>0.191256830601093</v>
      </c>
      <c r="R171" s="12" t="s">
        <v>25</v>
      </c>
    </row>
    <row r="172" customFormat="false" ht="15" hidden="false" customHeight="false" outlineLevel="0" collapsed="false">
      <c r="A172" s="67" t="s">
        <v>342</v>
      </c>
      <c r="B172" s="68" t="s">
        <v>346</v>
      </c>
      <c r="C172" s="69" t="s">
        <v>63</v>
      </c>
      <c r="D172" s="68" t="s">
        <v>344</v>
      </c>
      <c r="E172" s="70" t="n">
        <v>6.82</v>
      </c>
      <c r="F172" s="70" t="n">
        <v>6.82</v>
      </c>
      <c r="G172" s="70" t="n">
        <v>7.31</v>
      </c>
      <c r="H172" s="70" t="n">
        <v>7.82</v>
      </c>
      <c r="I172" s="70" t="n">
        <v>7.99</v>
      </c>
      <c r="J172" s="70" t="n">
        <v>7.99</v>
      </c>
      <c r="K172" s="9" t="s">
        <v>24</v>
      </c>
      <c r="L172" s="9" t="s">
        <v>24</v>
      </c>
      <c r="M172" s="9" t="s">
        <v>24</v>
      </c>
      <c r="N172" s="9" t="s">
        <v>24</v>
      </c>
      <c r="O172" s="9" t="s">
        <v>24</v>
      </c>
      <c r="P172" s="10" t="n">
        <f aca="false">(J172/E172)^(1/5)-1</f>
        <v>0.0321729679154847</v>
      </c>
      <c r="Q172" s="11" t="n">
        <f aca="false">(J172-E172)/E172</f>
        <v>0.171554252199413</v>
      </c>
      <c r="R172" s="12" t="s">
        <v>25</v>
      </c>
    </row>
    <row r="173" customFormat="false" ht="15" hidden="false" customHeight="false" outlineLevel="0" collapsed="false">
      <c r="A173" s="13" t="s">
        <v>342</v>
      </c>
      <c r="B173" s="14" t="s">
        <v>347</v>
      </c>
      <c r="C173" s="15" t="s">
        <v>63</v>
      </c>
      <c r="D173" s="14" t="s">
        <v>348</v>
      </c>
      <c r="E173" s="9" t="s">
        <v>24</v>
      </c>
      <c r="F173" s="9" t="s">
        <v>24</v>
      </c>
      <c r="G173" s="9" t="s">
        <v>24</v>
      </c>
      <c r="H173" s="16" t="n">
        <v>5.09</v>
      </c>
      <c r="I173" s="16" t="n">
        <v>5.46</v>
      </c>
      <c r="J173" s="16" t="n">
        <v>5.46</v>
      </c>
      <c r="K173" s="9" t="s">
        <v>24</v>
      </c>
      <c r="L173" s="9" t="s">
        <v>24</v>
      </c>
      <c r="M173" s="9" t="s">
        <v>24</v>
      </c>
      <c r="N173" s="9" t="s">
        <v>24</v>
      </c>
      <c r="O173" s="9" t="s">
        <v>24</v>
      </c>
      <c r="P173" s="10" t="n">
        <f aca="false">(J173/H173)^(1/2)-1</f>
        <v>0.0357082369387955</v>
      </c>
      <c r="Q173" s="11" t="n">
        <f aca="false">(J173-H173)/H173</f>
        <v>0.0726915520628684</v>
      </c>
      <c r="R173" s="12" t="s">
        <v>25</v>
      </c>
    </row>
    <row r="174" customFormat="false" ht="15" hidden="false" customHeight="false" outlineLevel="0" collapsed="false">
      <c r="A174" s="67" t="s">
        <v>342</v>
      </c>
      <c r="B174" s="68" t="s">
        <v>349</v>
      </c>
      <c r="C174" s="69" t="s">
        <v>224</v>
      </c>
      <c r="D174" s="68" t="s">
        <v>344</v>
      </c>
      <c r="E174" s="70" t="n">
        <v>25.54</v>
      </c>
      <c r="F174" s="70" t="n">
        <v>26.04</v>
      </c>
      <c r="G174" s="70" t="n">
        <v>26.5</v>
      </c>
      <c r="H174" s="70" t="n">
        <v>28.19</v>
      </c>
      <c r="I174" s="70" t="n">
        <v>29.39</v>
      </c>
      <c r="J174" s="70" t="n">
        <v>29.39</v>
      </c>
      <c r="K174" s="9" t="s">
        <v>24</v>
      </c>
      <c r="L174" s="9" t="s">
        <v>24</v>
      </c>
      <c r="M174" s="9" t="s">
        <v>24</v>
      </c>
      <c r="N174" s="9" t="s">
        <v>24</v>
      </c>
      <c r="O174" s="9" t="s">
        <v>24</v>
      </c>
      <c r="P174" s="10" t="n">
        <f aca="false">(J174/E174)^(1/5)-1</f>
        <v>0.0284797344859205</v>
      </c>
      <c r="Q174" s="11" t="n">
        <f aca="false">(J174-E174)/E174</f>
        <v>0.150743931088489</v>
      </c>
      <c r="R174" s="12" t="s">
        <v>25</v>
      </c>
    </row>
    <row r="175" customFormat="false" ht="15" hidden="false" customHeight="false" outlineLevel="0" collapsed="false">
      <c r="A175" s="13" t="s">
        <v>342</v>
      </c>
      <c r="B175" s="14" t="s">
        <v>350</v>
      </c>
      <c r="C175" s="15" t="s">
        <v>351</v>
      </c>
      <c r="D175" s="14" t="s">
        <v>352</v>
      </c>
      <c r="E175" s="9" t="s">
        <v>24</v>
      </c>
      <c r="F175" s="9" t="s">
        <v>24</v>
      </c>
      <c r="G175" s="9" t="s">
        <v>24</v>
      </c>
      <c r="H175" s="9" t="s">
        <v>24</v>
      </c>
      <c r="I175" s="16" t="n">
        <v>74</v>
      </c>
      <c r="J175" s="16" t="n">
        <v>75</v>
      </c>
      <c r="K175" s="9" t="s">
        <v>24</v>
      </c>
      <c r="L175" s="9" t="s">
        <v>24</v>
      </c>
      <c r="M175" s="9" t="s">
        <v>24</v>
      </c>
      <c r="N175" s="9" t="s">
        <v>24</v>
      </c>
      <c r="O175" s="9" t="s">
        <v>24</v>
      </c>
      <c r="P175" s="10" t="n">
        <f aca="false">(J175/I175)^(1/1)-1</f>
        <v>0.0135135135135136</v>
      </c>
      <c r="Q175" s="11" t="n">
        <f aca="false">(J175-I175)/I175</f>
        <v>0.0135135135135135</v>
      </c>
      <c r="R175" s="12" t="s">
        <v>25</v>
      </c>
    </row>
    <row r="176" customFormat="false" ht="15" hidden="false" customHeight="false" outlineLevel="0" collapsed="false">
      <c r="A176" s="4" t="s">
        <v>353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customFormat="false" ht="15" hidden="false" customHeight="false" outlineLevel="0" collapsed="false">
      <c r="A177" s="13" t="s">
        <v>353</v>
      </c>
      <c r="B177" s="14" t="s">
        <v>354</v>
      </c>
      <c r="C177" s="15" t="s">
        <v>60</v>
      </c>
      <c r="D177" s="14" t="s">
        <v>355</v>
      </c>
      <c r="E177" s="9" t="s">
        <v>24</v>
      </c>
      <c r="F177" s="9" t="s">
        <v>24</v>
      </c>
      <c r="G177" s="9" t="s">
        <v>24</v>
      </c>
      <c r="H177" s="9" t="s">
        <v>24</v>
      </c>
      <c r="I177" s="9" t="s">
        <v>24</v>
      </c>
      <c r="J177" s="9" t="s">
        <v>24</v>
      </c>
      <c r="K177" s="16" t="n">
        <v>29.9</v>
      </c>
      <c r="L177" s="16" t="n">
        <v>29.9</v>
      </c>
      <c r="M177" s="9" t="s">
        <v>24</v>
      </c>
      <c r="N177" s="9" t="s">
        <v>24</v>
      </c>
      <c r="O177" s="9" t="s">
        <v>24</v>
      </c>
      <c r="P177" s="10" t="n">
        <f aca="false">(L177/K177)^(1/1)-1</f>
        <v>0</v>
      </c>
      <c r="Q177" s="11" t="n">
        <f aca="false">(L177-K177)/K177</f>
        <v>0</v>
      </c>
      <c r="R177" s="12" t="s">
        <v>25</v>
      </c>
    </row>
    <row r="178" customFormat="false" ht="15" hidden="false" customHeight="false" outlineLevel="0" collapsed="false">
      <c r="A178" s="71" t="s">
        <v>353</v>
      </c>
      <c r="B178" s="72" t="s">
        <v>356</v>
      </c>
      <c r="C178" s="73" t="s">
        <v>32</v>
      </c>
      <c r="D178" s="72" t="s">
        <v>357</v>
      </c>
      <c r="E178" s="9" t="s">
        <v>24</v>
      </c>
      <c r="F178" s="9" t="s">
        <v>24</v>
      </c>
      <c r="G178" s="9" t="s">
        <v>24</v>
      </c>
      <c r="H178" s="9" t="s">
        <v>24</v>
      </c>
      <c r="I178" s="9" t="s">
        <v>24</v>
      </c>
      <c r="J178" s="9" t="s">
        <v>24</v>
      </c>
      <c r="K178" s="9" t="s">
        <v>24</v>
      </c>
      <c r="L178" s="74" t="n">
        <v>5.71</v>
      </c>
      <c r="M178" s="74" t="n">
        <v>5.71</v>
      </c>
      <c r="N178" s="74" t="n">
        <v>6.16</v>
      </c>
      <c r="O178" s="74" t="n">
        <v>6.16</v>
      </c>
      <c r="P178" s="10" t="n">
        <f aca="false">(O178/L178)^(1/3)-1</f>
        <v>0.0256083184444733</v>
      </c>
      <c r="Q178" s="11" t="n">
        <f aca="false">(O178-L178)/L178</f>
        <v>0.0788091068301226</v>
      </c>
      <c r="R178" s="17" t="s">
        <v>28</v>
      </c>
    </row>
    <row r="179" customFormat="false" ht="15" hidden="false" customHeight="false" outlineLevel="0" collapsed="false">
      <c r="A179" s="13" t="s">
        <v>353</v>
      </c>
      <c r="B179" s="14" t="s">
        <v>358</v>
      </c>
      <c r="C179" s="15" t="s">
        <v>133</v>
      </c>
      <c r="D179" s="14" t="s">
        <v>140</v>
      </c>
      <c r="E179" s="9" t="s">
        <v>24</v>
      </c>
      <c r="F179" s="9" t="s">
        <v>24</v>
      </c>
      <c r="G179" s="9" t="s">
        <v>24</v>
      </c>
      <c r="H179" s="9" t="s">
        <v>24</v>
      </c>
      <c r="I179" s="9" t="s">
        <v>24</v>
      </c>
      <c r="J179" s="9" t="s">
        <v>24</v>
      </c>
      <c r="K179" s="9" t="s">
        <v>24</v>
      </c>
      <c r="L179" s="9" t="s">
        <v>24</v>
      </c>
      <c r="M179" s="16" t="n">
        <v>11.5</v>
      </c>
      <c r="N179" s="16" t="n">
        <v>11.5</v>
      </c>
      <c r="O179" s="9" t="s">
        <v>24</v>
      </c>
      <c r="P179" s="10" t="n">
        <f aca="false">(N179/M179)^(1/1)-1</f>
        <v>0</v>
      </c>
      <c r="Q179" s="11" t="n">
        <f aca="false">(N179-M179)/M179</f>
        <v>0</v>
      </c>
      <c r="R179" s="17" t="s">
        <v>28</v>
      </c>
    </row>
    <row r="180" customFormat="false" ht="15" hidden="false" customHeight="false" outlineLevel="0" collapsed="false">
      <c r="A180" s="71" t="s">
        <v>353</v>
      </c>
      <c r="B180" s="72" t="s">
        <v>359</v>
      </c>
      <c r="C180" s="73" t="s">
        <v>63</v>
      </c>
      <c r="D180" s="72" t="s">
        <v>360</v>
      </c>
      <c r="E180" s="9" t="s">
        <v>24</v>
      </c>
      <c r="F180" s="9" t="s">
        <v>24</v>
      </c>
      <c r="G180" s="9" t="s">
        <v>24</v>
      </c>
      <c r="H180" s="9" t="s">
        <v>24</v>
      </c>
      <c r="I180" s="9" t="s">
        <v>24</v>
      </c>
      <c r="J180" s="9" t="s">
        <v>24</v>
      </c>
      <c r="K180" s="9" t="s">
        <v>24</v>
      </c>
      <c r="L180" s="9" t="s">
        <v>24</v>
      </c>
      <c r="M180" s="74" t="n">
        <v>9.99</v>
      </c>
      <c r="N180" s="74" t="n">
        <v>10.99</v>
      </c>
      <c r="O180" s="74" t="n">
        <v>10.99</v>
      </c>
      <c r="P180" s="10" t="n">
        <f aca="false">(O180/M180)^(1/2)-1</f>
        <v>0.0488565679348632</v>
      </c>
      <c r="Q180" s="11" t="n">
        <f aca="false">(O180-M180)/M180</f>
        <v>0.1001001001001</v>
      </c>
      <c r="R180" s="17" t="s">
        <v>28</v>
      </c>
    </row>
    <row r="181" customFormat="false" ht="15" hidden="false" customHeight="false" outlineLevel="0" collapsed="false">
      <c r="A181" s="13" t="s">
        <v>353</v>
      </c>
      <c r="B181" s="14" t="s">
        <v>361</v>
      </c>
      <c r="C181" s="15" t="s">
        <v>161</v>
      </c>
      <c r="D181" s="14" t="s">
        <v>110</v>
      </c>
      <c r="E181" s="9" t="s">
        <v>24</v>
      </c>
      <c r="F181" s="9" t="s">
        <v>24</v>
      </c>
      <c r="G181" s="9" t="s">
        <v>24</v>
      </c>
      <c r="H181" s="9" t="s">
        <v>24</v>
      </c>
      <c r="I181" s="9" t="s">
        <v>24</v>
      </c>
      <c r="J181" s="9" t="s">
        <v>24</v>
      </c>
      <c r="K181" s="9" t="s">
        <v>24</v>
      </c>
      <c r="L181" s="9" t="s">
        <v>24</v>
      </c>
      <c r="M181" s="9" t="s">
        <v>24</v>
      </c>
      <c r="N181" s="16" t="n">
        <v>7.99</v>
      </c>
      <c r="O181" s="16" t="n">
        <v>7.99</v>
      </c>
      <c r="P181" s="10" t="n">
        <f aca="false">(O181/N181)^(1/1)-1</f>
        <v>0</v>
      </c>
      <c r="Q181" s="11" t="n">
        <f aca="false">(O181-N181)/N181</f>
        <v>0</v>
      </c>
      <c r="R181" s="17" t="s">
        <v>28</v>
      </c>
    </row>
    <row r="182" customFormat="false" ht="15" hidden="false" customHeight="false" outlineLevel="0" collapsed="false">
      <c r="A182" s="4" t="s">
        <v>362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customFormat="false" ht="15" hidden="false" customHeight="false" outlineLevel="0" collapsed="false">
      <c r="A183" s="13" t="s">
        <v>362</v>
      </c>
      <c r="B183" s="14" t="s">
        <v>363</v>
      </c>
      <c r="C183" s="15" t="s">
        <v>364</v>
      </c>
      <c r="D183" s="14" t="s">
        <v>365</v>
      </c>
      <c r="E183" s="16" t="n">
        <v>24.9</v>
      </c>
      <c r="F183" s="16" t="n">
        <v>25.8</v>
      </c>
      <c r="G183" s="9" t="s">
        <v>24</v>
      </c>
      <c r="H183" s="9" t="s">
        <v>24</v>
      </c>
      <c r="I183" s="9" t="s">
        <v>24</v>
      </c>
      <c r="J183" s="9" t="s">
        <v>24</v>
      </c>
      <c r="K183" s="9" t="s">
        <v>24</v>
      </c>
      <c r="L183" s="9" t="s">
        <v>24</v>
      </c>
      <c r="M183" s="9" t="s">
        <v>24</v>
      </c>
      <c r="N183" s="9" t="s">
        <v>24</v>
      </c>
      <c r="O183" s="9" t="s">
        <v>24</v>
      </c>
      <c r="P183" s="10" t="n">
        <f aca="false">(F183/E183)^(1/1)-1</f>
        <v>0.036144578313253</v>
      </c>
      <c r="Q183" s="11" t="n">
        <f aca="false">(F183-E183)/E183</f>
        <v>0.0361445783132531</v>
      </c>
      <c r="R183" s="12" t="s">
        <v>25</v>
      </c>
    </row>
    <row r="184" customFormat="false" ht="15" hidden="false" customHeight="false" outlineLevel="0" collapsed="false">
      <c r="A184" s="75" t="s">
        <v>362</v>
      </c>
      <c r="B184" s="76" t="s">
        <v>366</v>
      </c>
      <c r="C184" s="77" t="s">
        <v>367</v>
      </c>
      <c r="D184" s="76" t="s">
        <v>368</v>
      </c>
      <c r="E184" s="9" t="s">
        <v>24</v>
      </c>
      <c r="F184" s="9" t="s">
        <v>24</v>
      </c>
      <c r="G184" s="9" t="s">
        <v>24</v>
      </c>
      <c r="H184" s="9" t="s">
        <v>24</v>
      </c>
      <c r="I184" s="9" t="s">
        <v>24</v>
      </c>
      <c r="J184" s="9" t="s">
        <v>24</v>
      </c>
      <c r="K184" s="9" t="s">
        <v>24</v>
      </c>
      <c r="L184" s="78" t="n">
        <v>39.3</v>
      </c>
      <c r="M184" s="78" t="n">
        <v>40.9</v>
      </c>
      <c r="N184" s="78" t="n">
        <v>43.9</v>
      </c>
      <c r="O184" s="78" t="n">
        <v>46.6</v>
      </c>
      <c r="P184" s="10" t="n">
        <f aca="false">(O184/L184)^(1/3)-1</f>
        <v>0.0584356407385096</v>
      </c>
      <c r="Q184" s="11" t="n">
        <f aca="false">(O184-L184)/L184</f>
        <v>0.185750636132316</v>
      </c>
      <c r="R184" s="17" t="s">
        <v>28</v>
      </c>
    </row>
    <row r="185" customFormat="false" ht="15" hidden="false" customHeight="false" outlineLevel="0" collapsed="false">
      <c r="A185" s="13" t="s">
        <v>362</v>
      </c>
      <c r="B185" s="14" t="s">
        <v>369</v>
      </c>
      <c r="C185" s="15" t="s">
        <v>367</v>
      </c>
      <c r="D185" s="14" t="s">
        <v>370</v>
      </c>
      <c r="E185" s="16" t="n">
        <v>35.6</v>
      </c>
      <c r="F185" s="16" t="n">
        <v>37.9</v>
      </c>
      <c r="G185" s="16" t="n">
        <v>38.9</v>
      </c>
      <c r="H185" s="16" t="n">
        <v>40.9</v>
      </c>
      <c r="I185" s="16" t="n">
        <v>42.8</v>
      </c>
      <c r="J185" s="16" t="n">
        <v>43.9</v>
      </c>
      <c r="K185" s="16" t="n">
        <v>42.4</v>
      </c>
      <c r="L185" s="16" t="n">
        <v>44.9</v>
      </c>
      <c r="M185" s="16" t="n">
        <v>57.9</v>
      </c>
      <c r="N185" s="16" t="n">
        <v>64.9</v>
      </c>
      <c r="O185" s="16" t="n">
        <v>72.85</v>
      </c>
      <c r="P185" s="10" t="n">
        <f aca="false">(O185/E185)^(1/10)-1</f>
        <v>0.0742316796876226</v>
      </c>
      <c r="Q185" s="11" t="n">
        <f aca="false">(O185-E185)/E185</f>
        <v>1.04634831460674</v>
      </c>
      <c r="R185" s="17" t="s">
        <v>28</v>
      </c>
    </row>
    <row r="186" customFormat="false" ht="15" hidden="false" customHeight="false" outlineLevel="0" collapsed="false">
      <c r="A186" s="75" t="s">
        <v>362</v>
      </c>
      <c r="B186" s="76" t="s">
        <v>371</v>
      </c>
      <c r="C186" s="77" t="s">
        <v>232</v>
      </c>
      <c r="D186" s="76" t="s">
        <v>372</v>
      </c>
      <c r="E186" s="78" t="n">
        <v>44.9</v>
      </c>
      <c r="F186" s="78" t="n">
        <v>47.9</v>
      </c>
      <c r="G186" s="78" t="n">
        <v>50.9</v>
      </c>
      <c r="H186" s="78" t="n">
        <v>53.9</v>
      </c>
      <c r="I186" s="78" t="n">
        <v>57.9</v>
      </c>
      <c r="J186" s="78" t="n">
        <v>62.9</v>
      </c>
      <c r="K186" s="78" t="n">
        <v>62.9</v>
      </c>
      <c r="L186" s="78" t="n">
        <v>62.9</v>
      </c>
      <c r="M186" s="78" t="n">
        <v>67.9</v>
      </c>
      <c r="N186" s="78" t="n">
        <v>72.9</v>
      </c>
      <c r="O186" s="78" t="n">
        <v>74.8</v>
      </c>
      <c r="P186" s="10" t="n">
        <f aca="false">(O186/E186)^(1/10)-1</f>
        <v>0.0523628918086396</v>
      </c>
      <c r="Q186" s="11" t="n">
        <f aca="false">(O186-E186)/E186</f>
        <v>0.665924276169265</v>
      </c>
      <c r="R186" s="17" t="s">
        <v>28</v>
      </c>
    </row>
    <row r="187" customFormat="false" ht="15" hidden="false" customHeight="false" outlineLevel="0" collapsed="false">
      <c r="A187" s="13" t="s">
        <v>362</v>
      </c>
      <c r="B187" s="14" t="s">
        <v>373</v>
      </c>
      <c r="C187" s="15" t="s">
        <v>374</v>
      </c>
      <c r="D187" s="14" t="s">
        <v>375</v>
      </c>
      <c r="E187" s="16" t="n">
        <v>121</v>
      </c>
      <c r="F187" s="16" t="n">
        <v>127</v>
      </c>
      <c r="G187" s="16" t="n">
        <v>133</v>
      </c>
      <c r="H187" s="16" t="n">
        <v>141</v>
      </c>
      <c r="I187" s="16" t="n">
        <v>146</v>
      </c>
      <c r="J187" s="16" t="n">
        <v>155</v>
      </c>
      <c r="K187" s="16" t="n">
        <v>155</v>
      </c>
      <c r="L187" s="16" t="n">
        <v>166</v>
      </c>
      <c r="M187" s="16" t="n">
        <v>189</v>
      </c>
      <c r="N187" s="16" t="n">
        <v>204</v>
      </c>
      <c r="O187" s="16" t="n">
        <v>204</v>
      </c>
      <c r="P187" s="10" t="n">
        <f aca="false">(O187/E187)^(1/10)-1</f>
        <v>0.0536211495231345</v>
      </c>
      <c r="Q187" s="11" t="n">
        <f aca="false">(O187-E187)/E187</f>
        <v>0.685950413223141</v>
      </c>
      <c r="R187" s="17" t="s">
        <v>28</v>
      </c>
    </row>
    <row r="188" customFormat="false" ht="15" hidden="false" customHeight="false" outlineLevel="0" collapsed="false">
      <c r="A188" s="75" t="s">
        <v>362</v>
      </c>
      <c r="B188" s="76" t="s">
        <v>376</v>
      </c>
      <c r="C188" s="77" t="s">
        <v>377</v>
      </c>
      <c r="D188" s="76" t="s">
        <v>378</v>
      </c>
      <c r="E188" s="78" t="n">
        <v>25.5</v>
      </c>
      <c r="F188" s="78" t="n">
        <v>27</v>
      </c>
      <c r="G188" s="78" t="n">
        <v>29.5</v>
      </c>
      <c r="H188" s="78" t="n">
        <v>31</v>
      </c>
      <c r="I188" s="78" t="n">
        <v>35</v>
      </c>
      <c r="J188" s="78" t="n">
        <v>37.5</v>
      </c>
      <c r="K188" s="78" t="n">
        <v>38.5</v>
      </c>
      <c r="L188" s="78" t="n">
        <v>43.9</v>
      </c>
      <c r="M188" s="78" t="n">
        <v>43.9</v>
      </c>
      <c r="N188" s="78" t="n">
        <v>47</v>
      </c>
      <c r="O188" s="78" t="n">
        <v>48.8</v>
      </c>
      <c r="P188" s="10" t="n">
        <f aca="false">(O188/E188)^(1/10)-1</f>
        <v>0.0670578476391506</v>
      </c>
      <c r="Q188" s="11" t="n">
        <f aca="false">(O188-E188)/E188</f>
        <v>0.913725490196078</v>
      </c>
      <c r="R188" s="17" t="s">
        <v>28</v>
      </c>
    </row>
    <row r="189" customFormat="false" ht="15" hidden="false" customHeight="false" outlineLevel="0" collapsed="false">
      <c r="A189" s="13" t="s">
        <v>362</v>
      </c>
      <c r="B189" s="14" t="s">
        <v>379</v>
      </c>
      <c r="C189" s="15" t="s">
        <v>380</v>
      </c>
      <c r="D189" s="14" t="s">
        <v>381</v>
      </c>
      <c r="E189" s="16" t="n">
        <v>43.9</v>
      </c>
      <c r="F189" s="16" t="n">
        <v>46.9</v>
      </c>
      <c r="G189" s="16" t="n">
        <v>49.9</v>
      </c>
      <c r="H189" s="16" t="n">
        <v>52.9</v>
      </c>
      <c r="I189" s="16" t="n">
        <v>55.9</v>
      </c>
      <c r="J189" s="16" t="n">
        <v>58.9</v>
      </c>
      <c r="K189" s="16" t="n">
        <v>58.9</v>
      </c>
      <c r="L189" s="16" t="n">
        <v>62.9</v>
      </c>
      <c r="M189" s="16" t="n">
        <v>69.9</v>
      </c>
      <c r="N189" s="16" t="n">
        <v>74.9</v>
      </c>
      <c r="O189" s="16" t="n">
        <v>77.5</v>
      </c>
      <c r="P189" s="10" t="n">
        <f aca="false">(O189/E189)^(1/10)-1</f>
        <v>0.0584825878552993</v>
      </c>
      <c r="Q189" s="11" t="n">
        <f aca="false">(O189-E189)/E189</f>
        <v>0.765375854214123</v>
      </c>
      <c r="R189" s="17" t="s">
        <v>28</v>
      </c>
    </row>
    <row r="190" customFormat="false" ht="15" hidden="false" customHeight="false" outlineLevel="0" collapsed="false">
      <c r="A190" s="75" t="s">
        <v>362</v>
      </c>
      <c r="B190" s="76" t="s">
        <v>382</v>
      </c>
      <c r="C190" s="77" t="s">
        <v>380</v>
      </c>
      <c r="D190" s="76" t="s">
        <v>383</v>
      </c>
      <c r="E190" s="78" t="n">
        <v>67.9</v>
      </c>
      <c r="F190" s="78" t="n">
        <v>68.9</v>
      </c>
      <c r="G190" s="78" t="n">
        <v>70.9</v>
      </c>
      <c r="H190" s="78" t="n">
        <v>72.9</v>
      </c>
      <c r="I190" s="78" t="n">
        <v>73.9</v>
      </c>
      <c r="J190" s="78" t="n">
        <v>74.9</v>
      </c>
      <c r="K190" s="78" t="n">
        <v>74.9</v>
      </c>
      <c r="L190" s="78" t="n">
        <v>82.9</v>
      </c>
      <c r="M190" s="78" t="n">
        <v>88.9</v>
      </c>
      <c r="N190" s="78" t="n">
        <v>98.9</v>
      </c>
      <c r="O190" s="78" t="n">
        <v>108</v>
      </c>
      <c r="P190" s="10" t="n">
        <f aca="false">(O190/E190)^(1/10)-1</f>
        <v>0.047503295902972</v>
      </c>
      <c r="Q190" s="11" t="n">
        <f aca="false">(O190-E190)/E190</f>
        <v>0.590574374079529</v>
      </c>
      <c r="R190" s="17" t="s">
        <v>28</v>
      </c>
    </row>
    <row r="191" customFormat="false" ht="15" hidden="false" customHeight="false" outlineLevel="0" collapsed="false">
      <c r="A191" s="13" t="s">
        <v>362</v>
      </c>
      <c r="B191" s="14" t="s">
        <v>384</v>
      </c>
      <c r="C191" s="15" t="s">
        <v>229</v>
      </c>
      <c r="D191" s="14" t="s">
        <v>385</v>
      </c>
      <c r="E191" s="9" t="s">
        <v>24</v>
      </c>
      <c r="F191" s="9" t="s">
        <v>24</v>
      </c>
      <c r="G191" s="9" t="s">
        <v>24</v>
      </c>
      <c r="H191" s="9" t="s">
        <v>24</v>
      </c>
      <c r="I191" s="9" t="s">
        <v>24</v>
      </c>
      <c r="J191" s="9" t="s">
        <v>24</v>
      </c>
      <c r="K191" s="9" t="s">
        <v>24</v>
      </c>
      <c r="L191" s="16" t="n">
        <v>97.9</v>
      </c>
      <c r="M191" s="16" t="n">
        <v>102</v>
      </c>
      <c r="N191" s="16" t="n">
        <v>105</v>
      </c>
      <c r="O191" s="16" t="n">
        <v>108</v>
      </c>
      <c r="P191" s="10" t="n">
        <f aca="false">(O191/L191)^(1/3)-1</f>
        <v>0.0332696851012029</v>
      </c>
      <c r="Q191" s="11" t="n">
        <f aca="false">(O191-L191)/L191</f>
        <v>0.103166496424923</v>
      </c>
      <c r="R191" s="17" t="s">
        <v>28</v>
      </c>
    </row>
    <row r="192" customFormat="false" ht="15" hidden="false" customHeight="false" outlineLevel="0" collapsed="false">
      <c r="A192" s="75" t="s">
        <v>362</v>
      </c>
      <c r="B192" s="76" t="s">
        <v>386</v>
      </c>
      <c r="C192" s="77" t="s">
        <v>351</v>
      </c>
      <c r="D192" s="76" t="s">
        <v>387</v>
      </c>
      <c r="E192" s="9" t="s">
        <v>24</v>
      </c>
      <c r="F192" s="9" t="s">
        <v>24</v>
      </c>
      <c r="G192" s="9" t="s">
        <v>24</v>
      </c>
      <c r="H192" s="9" t="s">
        <v>24</v>
      </c>
      <c r="I192" s="9" t="s">
        <v>24</v>
      </c>
      <c r="J192" s="9" t="s">
        <v>24</v>
      </c>
      <c r="K192" s="9" t="s">
        <v>24</v>
      </c>
      <c r="L192" s="78" t="n">
        <v>64.9</v>
      </c>
      <c r="M192" s="78" t="n">
        <v>64.9</v>
      </c>
      <c r="N192" s="78" t="n">
        <v>79.2</v>
      </c>
      <c r="O192" s="78" t="n">
        <v>79.2</v>
      </c>
      <c r="P192" s="10" t="n">
        <f aca="false">(O192/L192)^(1/3)-1</f>
        <v>0.0686286864126529</v>
      </c>
      <c r="Q192" s="11" t="n">
        <f aca="false">(O192-L192)/L192</f>
        <v>0.220338983050847</v>
      </c>
      <c r="R192" s="17" t="s">
        <v>28</v>
      </c>
    </row>
    <row r="193" customFormat="false" ht="15" hidden="false" customHeight="false" outlineLevel="0" collapsed="false">
      <c r="A193" s="13" t="s">
        <v>362</v>
      </c>
      <c r="B193" s="14" t="s">
        <v>388</v>
      </c>
      <c r="C193" s="15" t="s">
        <v>389</v>
      </c>
      <c r="D193" s="14" t="s">
        <v>390</v>
      </c>
      <c r="E193" s="9" t="s">
        <v>24</v>
      </c>
      <c r="F193" s="9" t="s">
        <v>24</v>
      </c>
      <c r="G193" s="9" t="s">
        <v>24</v>
      </c>
      <c r="H193" s="9" t="s">
        <v>24</v>
      </c>
      <c r="I193" s="9" t="s">
        <v>24</v>
      </c>
      <c r="J193" s="9" t="s">
        <v>24</v>
      </c>
      <c r="K193" s="9" t="s">
        <v>24</v>
      </c>
      <c r="L193" s="16" t="n">
        <v>143</v>
      </c>
      <c r="M193" s="16" t="n">
        <v>159</v>
      </c>
      <c r="N193" s="16" t="n">
        <v>185</v>
      </c>
      <c r="O193" s="16" t="n">
        <v>197</v>
      </c>
      <c r="P193" s="10" t="n">
        <f aca="false">(O193/L193)^(1/3)-1</f>
        <v>0.112696519455189</v>
      </c>
      <c r="Q193" s="11" t="n">
        <f aca="false">(O193-L193)/L193</f>
        <v>0.377622377622378</v>
      </c>
      <c r="R193" s="17" t="s">
        <v>28</v>
      </c>
    </row>
    <row r="194" customFormat="false" ht="15" hidden="false" customHeight="false" outlineLevel="0" collapsed="false">
      <c r="A194" s="4" t="s">
        <v>391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customFormat="false" ht="15" hidden="false" customHeight="false" outlineLevel="0" collapsed="false">
      <c r="A195" s="13" t="s">
        <v>391</v>
      </c>
      <c r="B195" s="14" t="s">
        <v>392</v>
      </c>
      <c r="C195" s="15" t="s">
        <v>393</v>
      </c>
      <c r="D195" s="14" t="s">
        <v>368</v>
      </c>
      <c r="E195" s="9" t="s">
        <v>24</v>
      </c>
      <c r="F195" s="9" t="s">
        <v>24</v>
      </c>
      <c r="G195" s="9" t="s">
        <v>24</v>
      </c>
      <c r="H195" s="9" t="s">
        <v>24</v>
      </c>
      <c r="I195" s="9" t="s">
        <v>24</v>
      </c>
      <c r="J195" s="9" t="s">
        <v>24</v>
      </c>
      <c r="K195" s="9" t="s">
        <v>24</v>
      </c>
      <c r="L195" s="16" t="n">
        <v>42.3</v>
      </c>
      <c r="M195" s="16" t="n">
        <v>42.3</v>
      </c>
      <c r="N195" s="16" t="n">
        <v>45.5</v>
      </c>
      <c r="O195" s="16" t="n">
        <v>45.5</v>
      </c>
      <c r="P195" s="10" t="n">
        <f aca="false">(O195/L195)^(1/3)-1</f>
        <v>0.0246062713689388</v>
      </c>
      <c r="Q195" s="11" t="n">
        <f aca="false">(O195-L195)/L195</f>
        <v>0.0756501182033098</v>
      </c>
      <c r="R195" s="17" t="s">
        <v>28</v>
      </c>
    </row>
    <row r="196" customFormat="false" ht="15" hidden="false" customHeight="false" outlineLevel="0" collapsed="false">
      <c r="A196" s="79" t="s">
        <v>391</v>
      </c>
      <c r="B196" s="80" t="s">
        <v>394</v>
      </c>
      <c r="C196" s="81" t="s">
        <v>367</v>
      </c>
      <c r="D196" s="80" t="s">
        <v>395</v>
      </c>
      <c r="E196" s="82" t="n">
        <v>36.5</v>
      </c>
      <c r="F196" s="82" t="n">
        <v>38</v>
      </c>
      <c r="G196" s="82" t="n">
        <v>40</v>
      </c>
      <c r="H196" s="82" t="n">
        <v>40.1</v>
      </c>
      <c r="I196" s="82" t="n">
        <v>40.9</v>
      </c>
      <c r="J196" s="82" t="n">
        <v>43.98</v>
      </c>
      <c r="K196" s="82" t="n">
        <v>43.98</v>
      </c>
      <c r="L196" s="82" t="n">
        <v>55</v>
      </c>
      <c r="M196" s="82" t="n">
        <v>57.7</v>
      </c>
      <c r="N196" s="82" t="n">
        <v>58.65</v>
      </c>
      <c r="O196" s="82" t="n">
        <v>58.65</v>
      </c>
      <c r="P196" s="10" t="n">
        <f aca="false">(O196/E196)^(1/10)-1</f>
        <v>0.0485702100063006</v>
      </c>
      <c r="Q196" s="11" t="n">
        <f aca="false">(O196-E196)/E196</f>
        <v>0.606849315068493</v>
      </c>
      <c r="R196" s="17" t="s">
        <v>28</v>
      </c>
    </row>
    <row r="197" customFormat="false" ht="15" hidden="false" customHeight="false" outlineLevel="0" collapsed="false">
      <c r="A197" s="13" t="s">
        <v>391</v>
      </c>
      <c r="B197" s="14" t="s">
        <v>396</v>
      </c>
      <c r="C197" s="15" t="s">
        <v>232</v>
      </c>
      <c r="D197" s="14" t="s">
        <v>397</v>
      </c>
      <c r="E197" s="16" t="n">
        <v>49.9</v>
      </c>
      <c r="F197" s="16" t="n">
        <v>52</v>
      </c>
      <c r="G197" s="16" t="n">
        <v>55.9</v>
      </c>
      <c r="H197" s="16" t="n">
        <v>58.9</v>
      </c>
      <c r="I197" s="16" t="n">
        <v>58.9</v>
      </c>
      <c r="J197" s="16" t="n">
        <v>60</v>
      </c>
      <c r="K197" s="16" t="n">
        <v>60</v>
      </c>
      <c r="L197" s="16" t="n">
        <v>63.5</v>
      </c>
      <c r="M197" s="16" t="n">
        <v>80.5</v>
      </c>
      <c r="N197" s="16" t="n">
        <v>96.4</v>
      </c>
      <c r="O197" s="16" t="n">
        <v>96.4</v>
      </c>
      <c r="P197" s="10" t="n">
        <f aca="false">(O197/E197)^(1/10)-1</f>
        <v>0.0680649143162617</v>
      </c>
      <c r="Q197" s="11" t="n">
        <f aca="false">(O197-E197)/E197</f>
        <v>0.93186372745491</v>
      </c>
      <c r="R197" s="17" t="s">
        <v>28</v>
      </c>
    </row>
    <row r="198" customFormat="false" ht="15" hidden="false" customHeight="false" outlineLevel="0" collapsed="false">
      <c r="A198" s="79" t="s">
        <v>391</v>
      </c>
      <c r="B198" s="80" t="s">
        <v>398</v>
      </c>
      <c r="C198" s="81" t="s">
        <v>374</v>
      </c>
      <c r="D198" s="80" t="s">
        <v>399</v>
      </c>
      <c r="E198" s="82" t="n">
        <v>139</v>
      </c>
      <c r="F198" s="82" t="n">
        <v>145</v>
      </c>
      <c r="G198" s="82" t="n">
        <v>149</v>
      </c>
      <c r="H198" s="82" t="n">
        <v>155</v>
      </c>
      <c r="I198" s="82" t="n">
        <v>159</v>
      </c>
      <c r="J198" s="82" t="n">
        <v>162</v>
      </c>
      <c r="K198" s="82" t="n">
        <v>162</v>
      </c>
      <c r="L198" s="82" t="n">
        <v>181</v>
      </c>
      <c r="M198" s="82" t="n">
        <v>205</v>
      </c>
      <c r="N198" s="82" t="n">
        <v>222</v>
      </c>
      <c r="O198" s="82" t="n">
        <v>222</v>
      </c>
      <c r="P198" s="10" t="n">
        <f aca="false">(O198/E198)^(1/10)-1</f>
        <v>0.0479337255017789</v>
      </c>
      <c r="Q198" s="11" t="n">
        <f aca="false">(O198-E198)/E198</f>
        <v>0.597122302158273</v>
      </c>
      <c r="R198" s="17" t="s">
        <v>28</v>
      </c>
    </row>
    <row r="199" customFormat="false" ht="15" hidden="false" customHeight="false" outlineLevel="0" collapsed="false">
      <c r="A199" s="13" t="s">
        <v>391</v>
      </c>
      <c r="B199" s="14" t="s">
        <v>400</v>
      </c>
      <c r="C199" s="15" t="s">
        <v>377</v>
      </c>
      <c r="D199" s="14" t="s">
        <v>401</v>
      </c>
      <c r="E199" s="9" t="s">
        <v>24</v>
      </c>
      <c r="F199" s="9" t="s">
        <v>24</v>
      </c>
      <c r="G199" s="9" t="s">
        <v>24</v>
      </c>
      <c r="H199" s="9" t="s">
        <v>24</v>
      </c>
      <c r="I199" s="9" t="s">
        <v>24</v>
      </c>
      <c r="J199" s="9" t="s">
        <v>24</v>
      </c>
      <c r="K199" s="9" t="s">
        <v>24</v>
      </c>
      <c r="L199" s="16" t="n">
        <v>43.3</v>
      </c>
      <c r="M199" s="16" t="n">
        <v>43.3</v>
      </c>
      <c r="N199" s="16" t="n">
        <v>44.9</v>
      </c>
      <c r="O199" s="16" t="n">
        <v>44.9</v>
      </c>
      <c r="P199" s="10" t="n">
        <f aca="false">(O199/L199)^(1/3)-1</f>
        <v>0.0121684941951583</v>
      </c>
      <c r="Q199" s="11" t="n">
        <f aca="false">(O199-L199)/L199</f>
        <v>0.0369515011547344</v>
      </c>
      <c r="R199" s="17" t="s">
        <v>28</v>
      </c>
    </row>
    <row r="200" customFormat="false" ht="15" hidden="false" customHeight="false" outlineLevel="0" collapsed="false">
      <c r="A200" s="79" t="s">
        <v>391</v>
      </c>
      <c r="B200" s="80" t="s">
        <v>402</v>
      </c>
      <c r="C200" s="81" t="s">
        <v>380</v>
      </c>
      <c r="D200" s="80" t="s">
        <v>403</v>
      </c>
      <c r="E200" s="82" t="n">
        <v>46</v>
      </c>
      <c r="F200" s="82" t="n">
        <v>49.7</v>
      </c>
      <c r="G200" s="82" t="n">
        <v>53.5</v>
      </c>
      <c r="H200" s="82" t="n">
        <v>54.7</v>
      </c>
      <c r="I200" s="82" t="n">
        <v>55</v>
      </c>
      <c r="J200" s="82" t="n">
        <v>57</v>
      </c>
      <c r="K200" s="82" t="n">
        <v>57</v>
      </c>
      <c r="L200" s="82" t="n">
        <v>67</v>
      </c>
      <c r="M200" s="82" t="n">
        <v>67</v>
      </c>
      <c r="N200" s="82" t="n">
        <v>73.97</v>
      </c>
      <c r="O200" s="82" t="n">
        <v>73.97</v>
      </c>
      <c r="P200" s="10" t="n">
        <f aca="false">(O200/E200)^(1/10)-1</f>
        <v>0.0486481106144978</v>
      </c>
      <c r="Q200" s="11" t="n">
        <f aca="false">(O200-E200)/E200</f>
        <v>0.60804347826087</v>
      </c>
      <c r="R200" s="17" t="s">
        <v>28</v>
      </c>
    </row>
    <row r="201" customFormat="false" ht="15" hidden="false" customHeight="false" outlineLevel="0" collapsed="false">
      <c r="A201" s="13" t="s">
        <v>391</v>
      </c>
      <c r="B201" s="14" t="s">
        <v>404</v>
      </c>
      <c r="C201" s="15" t="s">
        <v>380</v>
      </c>
      <c r="D201" s="14" t="s">
        <v>405</v>
      </c>
      <c r="E201" s="16" t="n">
        <v>58</v>
      </c>
      <c r="F201" s="16" t="n">
        <v>60</v>
      </c>
      <c r="G201" s="16" t="n">
        <v>62</v>
      </c>
      <c r="H201" s="16" t="n">
        <v>67.9</v>
      </c>
      <c r="I201" s="16" t="n">
        <v>73.5</v>
      </c>
      <c r="J201" s="16" t="n">
        <v>79.9</v>
      </c>
      <c r="K201" s="16" t="n">
        <v>79.9</v>
      </c>
      <c r="L201" s="16" t="n">
        <v>85</v>
      </c>
      <c r="M201" s="16" t="n">
        <v>92</v>
      </c>
      <c r="N201" s="16" t="n">
        <v>96.14</v>
      </c>
      <c r="O201" s="16" t="n">
        <v>96.14</v>
      </c>
      <c r="P201" s="10" t="n">
        <f aca="false">(O201/E201)^(1/10)-1</f>
        <v>0.0518349866250856</v>
      </c>
      <c r="Q201" s="11" t="n">
        <f aca="false">(O201-E201)/E201</f>
        <v>0.657586206896552</v>
      </c>
      <c r="R201" s="17" t="s">
        <v>28</v>
      </c>
    </row>
    <row r="202" customFormat="false" ht="15" hidden="false" customHeight="false" outlineLevel="0" collapsed="false">
      <c r="A202" s="79" t="s">
        <v>391</v>
      </c>
      <c r="B202" s="80" t="s">
        <v>406</v>
      </c>
      <c r="C202" s="81" t="s">
        <v>229</v>
      </c>
      <c r="D202" s="80" t="s">
        <v>407</v>
      </c>
      <c r="E202" s="9" t="s">
        <v>24</v>
      </c>
      <c r="F202" s="9" t="s">
        <v>24</v>
      </c>
      <c r="G202" s="9" t="s">
        <v>24</v>
      </c>
      <c r="H202" s="9" t="s">
        <v>24</v>
      </c>
      <c r="I202" s="9" t="s">
        <v>24</v>
      </c>
      <c r="J202" s="9" t="s">
        <v>24</v>
      </c>
      <c r="K202" s="9" t="s">
        <v>24</v>
      </c>
      <c r="L202" s="82" t="n">
        <v>161</v>
      </c>
      <c r="M202" s="82" t="n">
        <v>184</v>
      </c>
      <c r="N202" s="82" t="n">
        <v>186</v>
      </c>
      <c r="O202" s="82" t="n">
        <v>186</v>
      </c>
      <c r="P202" s="10" t="n">
        <f aca="false">(O202/L202)^(1/3)-1</f>
        <v>0.0492903755789731</v>
      </c>
      <c r="Q202" s="11" t="n">
        <f aca="false">(O202-L202)/L202</f>
        <v>0.15527950310559</v>
      </c>
      <c r="R202" s="17" t="s">
        <v>28</v>
      </c>
    </row>
    <row r="203" customFormat="false" ht="15" hidden="false" customHeight="false" outlineLevel="0" collapsed="false">
      <c r="A203" s="13" t="s">
        <v>391</v>
      </c>
      <c r="B203" s="14" t="s">
        <v>408</v>
      </c>
      <c r="C203" s="15" t="s">
        <v>139</v>
      </c>
      <c r="D203" s="14" t="s">
        <v>409</v>
      </c>
      <c r="E203" s="9" t="s">
        <v>24</v>
      </c>
      <c r="F203" s="9" t="s">
        <v>24</v>
      </c>
      <c r="G203" s="9" t="s">
        <v>24</v>
      </c>
      <c r="H203" s="9" t="s">
        <v>24</v>
      </c>
      <c r="I203" s="9" t="s">
        <v>24</v>
      </c>
      <c r="J203" s="9" t="s">
        <v>24</v>
      </c>
      <c r="K203" s="9" t="s">
        <v>24</v>
      </c>
      <c r="L203" s="9" t="s">
        <v>24</v>
      </c>
      <c r="M203" s="9" t="s">
        <v>24</v>
      </c>
      <c r="N203" s="16" t="n">
        <v>155</v>
      </c>
      <c r="O203" s="16" t="n">
        <v>155</v>
      </c>
      <c r="P203" s="10" t="n">
        <f aca="false">(O203/N203)^(1/1)-1</f>
        <v>0</v>
      </c>
      <c r="Q203" s="11" t="n">
        <f aca="false">(O203-N203)/N203</f>
        <v>0</v>
      </c>
      <c r="R203" s="17" t="s">
        <v>28</v>
      </c>
    </row>
    <row r="204" customFormat="false" ht="15" hidden="false" customHeight="false" outlineLevel="0" collapsed="false">
      <c r="A204" s="79" t="s">
        <v>391</v>
      </c>
      <c r="B204" s="80" t="s">
        <v>410</v>
      </c>
      <c r="C204" s="81" t="s">
        <v>389</v>
      </c>
      <c r="D204" s="80" t="s">
        <v>411</v>
      </c>
      <c r="E204" s="9" t="s">
        <v>24</v>
      </c>
      <c r="F204" s="9" t="s">
        <v>24</v>
      </c>
      <c r="G204" s="9" t="s">
        <v>24</v>
      </c>
      <c r="H204" s="9" t="s">
        <v>24</v>
      </c>
      <c r="I204" s="9" t="s">
        <v>24</v>
      </c>
      <c r="J204" s="9" t="s">
        <v>24</v>
      </c>
      <c r="K204" s="9" t="s">
        <v>24</v>
      </c>
      <c r="L204" s="9" t="s">
        <v>24</v>
      </c>
      <c r="M204" s="9" t="s">
        <v>24</v>
      </c>
      <c r="N204" s="82" t="n">
        <v>132</v>
      </c>
      <c r="O204" s="82" t="n">
        <v>132</v>
      </c>
      <c r="P204" s="10" t="n">
        <f aca="false">(O204/N204)^(1/1)-1</f>
        <v>0</v>
      </c>
      <c r="Q204" s="11" t="n">
        <f aca="false">(O204-N204)/N204</f>
        <v>0</v>
      </c>
      <c r="R204" s="17" t="s">
        <v>28</v>
      </c>
    </row>
    <row r="205" customFormat="false" ht="15" hidden="false" customHeight="false" outlineLevel="0" collapsed="false">
      <c r="A205" s="4" t="s">
        <v>412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customFormat="false" ht="15" hidden="false" customHeight="false" outlineLevel="0" collapsed="false">
      <c r="A206" s="83" t="s">
        <v>412</v>
      </c>
      <c r="B206" s="84" t="s">
        <v>413</v>
      </c>
      <c r="C206" s="85" t="s">
        <v>393</v>
      </c>
      <c r="D206" s="84" t="s">
        <v>368</v>
      </c>
      <c r="E206" s="9" t="s">
        <v>24</v>
      </c>
      <c r="F206" s="9" t="s">
        <v>24</v>
      </c>
      <c r="G206" s="9" t="s">
        <v>24</v>
      </c>
      <c r="H206" s="9" t="s">
        <v>24</v>
      </c>
      <c r="I206" s="9" t="s">
        <v>24</v>
      </c>
      <c r="J206" s="9" t="s">
        <v>24</v>
      </c>
      <c r="K206" s="9" t="s">
        <v>24</v>
      </c>
      <c r="L206" s="86" t="n">
        <v>42.04</v>
      </c>
      <c r="M206" s="86" t="n">
        <v>42.04</v>
      </c>
      <c r="N206" s="9" t="s">
        <v>24</v>
      </c>
      <c r="O206" s="9" t="s">
        <v>24</v>
      </c>
      <c r="P206" s="10" t="n">
        <f aca="false">(M206/L206)^(1/1)-1</f>
        <v>0</v>
      </c>
      <c r="Q206" s="11" t="n">
        <f aca="false">(M206-L206)/L206</f>
        <v>0</v>
      </c>
      <c r="R206" s="12" t="s">
        <v>25</v>
      </c>
    </row>
    <row r="207" customFormat="false" ht="15" hidden="false" customHeight="false" outlineLevel="0" collapsed="false">
      <c r="A207" s="13" t="s">
        <v>412</v>
      </c>
      <c r="B207" s="14" t="s">
        <v>414</v>
      </c>
      <c r="C207" s="15" t="s">
        <v>367</v>
      </c>
      <c r="D207" s="14" t="s">
        <v>415</v>
      </c>
      <c r="E207" s="16" t="n">
        <v>35.33</v>
      </c>
      <c r="F207" s="16" t="n">
        <v>36</v>
      </c>
      <c r="G207" s="16" t="n">
        <v>40.2</v>
      </c>
      <c r="H207" s="16" t="n">
        <v>41.69</v>
      </c>
      <c r="I207" s="16" t="n">
        <v>42.34</v>
      </c>
      <c r="J207" s="16" t="n">
        <v>43.32</v>
      </c>
      <c r="K207" s="16" t="n">
        <v>43.32</v>
      </c>
      <c r="L207" s="16" t="n">
        <v>43.32</v>
      </c>
      <c r="M207" s="16" t="n">
        <v>46.07</v>
      </c>
      <c r="N207" s="16" t="n">
        <v>46.9</v>
      </c>
      <c r="O207" s="16" t="n">
        <v>46.25</v>
      </c>
      <c r="P207" s="10" t="n">
        <f aca="false">(O207/E207)^(1/10)-1</f>
        <v>0.0272988689624891</v>
      </c>
      <c r="Q207" s="11" t="n">
        <f aca="false">(O207-E207)/E207</f>
        <v>0.309085762807812</v>
      </c>
      <c r="R207" s="17" t="s">
        <v>28</v>
      </c>
    </row>
    <row r="208" customFormat="false" ht="15" hidden="false" customHeight="false" outlineLevel="0" collapsed="false">
      <c r="A208" s="83" t="s">
        <v>412</v>
      </c>
      <c r="B208" s="84" t="s">
        <v>416</v>
      </c>
      <c r="C208" s="85" t="s">
        <v>232</v>
      </c>
      <c r="D208" s="84" t="s">
        <v>417</v>
      </c>
      <c r="E208" s="86" t="n">
        <v>45</v>
      </c>
      <c r="F208" s="86" t="n">
        <v>46.95</v>
      </c>
      <c r="G208" s="86" t="n">
        <v>52.75</v>
      </c>
      <c r="H208" s="86" t="n">
        <v>56.56</v>
      </c>
      <c r="I208" s="86" t="n">
        <v>56.56</v>
      </c>
      <c r="J208" s="86" t="n">
        <v>57.58</v>
      </c>
      <c r="K208" s="86" t="n">
        <v>57.58</v>
      </c>
      <c r="L208" s="86" t="n">
        <v>58.7</v>
      </c>
      <c r="M208" s="86" t="n">
        <v>64.69</v>
      </c>
      <c r="N208" s="86" t="n">
        <v>67.6</v>
      </c>
      <c r="O208" s="86" t="n">
        <v>68.82</v>
      </c>
      <c r="P208" s="10" t="n">
        <f aca="false">(O208/E208)^(1/10)-1</f>
        <v>0.0433985178030916</v>
      </c>
      <c r="Q208" s="11" t="n">
        <f aca="false">(O208-E208)/E208</f>
        <v>0.529333333333333</v>
      </c>
      <c r="R208" s="17" t="s">
        <v>28</v>
      </c>
    </row>
    <row r="209" customFormat="false" ht="15" hidden="false" customHeight="false" outlineLevel="0" collapsed="false">
      <c r="A209" s="13" t="s">
        <v>412</v>
      </c>
      <c r="B209" s="14" t="s">
        <v>418</v>
      </c>
      <c r="C209" s="15" t="s">
        <v>374</v>
      </c>
      <c r="D209" s="14" t="s">
        <v>419</v>
      </c>
      <c r="E209" s="16" t="n">
        <v>79</v>
      </c>
      <c r="F209" s="16" t="n">
        <v>82</v>
      </c>
      <c r="G209" s="16" t="n">
        <v>84</v>
      </c>
      <c r="H209" s="16" t="n">
        <v>119</v>
      </c>
      <c r="I209" s="16" t="n">
        <v>123</v>
      </c>
      <c r="J209" s="16" t="n">
        <v>126</v>
      </c>
      <c r="K209" s="16" t="n">
        <v>126</v>
      </c>
      <c r="L209" s="16" t="n">
        <v>141</v>
      </c>
      <c r="M209" s="16" t="n">
        <v>142</v>
      </c>
      <c r="N209" s="16" t="n">
        <v>159</v>
      </c>
      <c r="O209" s="16" t="n">
        <v>159</v>
      </c>
      <c r="P209" s="10" t="n">
        <f aca="false">(O209/E209)^(1/10)-1</f>
        <v>0.0724498759053744</v>
      </c>
      <c r="Q209" s="11" t="n">
        <f aca="false">(O209-E209)/E209</f>
        <v>1.0126582278481</v>
      </c>
      <c r="R209" s="17" t="s">
        <v>28</v>
      </c>
    </row>
    <row r="210" customFormat="false" ht="15" hidden="false" customHeight="false" outlineLevel="0" collapsed="false">
      <c r="A210" s="83" t="s">
        <v>412</v>
      </c>
      <c r="B210" s="84" t="s">
        <v>420</v>
      </c>
      <c r="C210" s="85" t="s">
        <v>377</v>
      </c>
      <c r="D210" s="84" t="s">
        <v>421</v>
      </c>
      <c r="E210" s="86" t="n">
        <v>28</v>
      </c>
      <c r="F210" s="86" t="n">
        <v>29</v>
      </c>
      <c r="G210" s="86" t="n">
        <v>34.68</v>
      </c>
      <c r="H210" s="86" t="n">
        <v>35.49</v>
      </c>
      <c r="I210" s="86" t="n">
        <v>36.29</v>
      </c>
      <c r="J210" s="86" t="n">
        <v>37.67</v>
      </c>
      <c r="K210" s="86" t="n">
        <v>37.67</v>
      </c>
      <c r="L210" s="86" t="n">
        <v>44.89</v>
      </c>
      <c r="M210" s="86" t="n">
        <v>44.89</v>
      </c>
      <c r="N210" s="86" t="n">
        <v>44.89</v>
      </c>
      <c r="O210" s="86" t="n">
        <v>44.89</v>
      </c>
      <c r="P210" s="10" t="n">
        <f aca="false">(O210/E210)^(1/10)-1</f>
        <v>0.0483327596619756</v>
      </c>
      <c r="Q210" s="11" t="n">
        <f aca="false">(O210-E210)/E210</f>
        <v>0.603214285714286</v>
      </c>
      <c r="R210" s="17" t="s">
        <v>28</v>
      </c>
    </row>
    <row r="211" customFormat="false" ht="15" hidden="false" customHeight="false" outlineLevel="0" collapsed="false">
      <c r="A211" s="13" t="s">
        <v>412</v>
      </c>
      <c r="B211" s="14" t="s">
        <v>422</v>
      </c>
      <c r="C211" s="15" t="s">
        <v>380</v>
      </c>
      <c r="D211" s="14" t="s">
        <v>423</v>
      </c>
      <c r="E211" s="16" t="n">
        <v>53</v>
      </c>
      <c r="F211" s="16" t="n">
        <v>53</v>
      </c>
      <c r="G211" s="16" t="n">
        <v>55</v>
      </c>
      <c r="H211" s="16" t="n">
        <v>58.2</v>
      </c>
      <c r="I211" s="16" t="n">
        <v>58.2</v>
      </c>
      <c r="J211" s="16" t="n">
        <v>57.9</v>
      </c>
      <c r="K211" s="16" t="n">
        <v>57.9</v>
      </c>
      <c r="L211" s="16" t="n">
        <v>63.79</v>
      </c>
      <c r="M211" s="16" t="n">
        <v>67.88</v>
      </c>
      <c r="N211" s="16" t="n">
        <v>75.08</v>
      </c>
      <c r="O211" s="16" t="n">
        <v>75.08</v>
      </c>
      <c r="P211" s="10" t="n">
        <f aca="false">(O211/E211)^(1/10)-1</f>
        <v>0.0354397646078322</v>
      </c>
      <c r="Q211" s="11" t="n">
        <f aca="false">(O211-E211)/E211</f>
        <v>0.416603773584906</v>
      </c>
      <c r="R211" s="17" t="s">
        <v>28</v>
      </c>
    </row>
    <row r="212" customFormat="false" ht="15" hidden="false" customHeight="false" outlineLevel="0" collapsed="false">
      <c r="A212" s="83" t="s">
        <v>412</v>
      </c>
      <c r="B212" s="84" t="s">
        <v>424</v>
      </c>
      <c r="C212" s="85" t="s">
        <v>425</v>
      </c>
      <c r="D212" s="84" t="s">
        <v>426</v>
      </c>
      <c r="E212" s="86" t="n">
        <v>72</v>
      </c>
      <c r="F212" s="86" t="n">
        <v>74.76</v>
      </c>
      <c r="G212" s="86" t="n">
        <v>79.99</v>
      </c>
      <c r="H212" s="86" t="n">
        <v>83</v>
      </c>
      <c r="I212" s="86" t="n">
        <v>83</v>
      </c>
      <c r="J212" s="86" t="n">
        <v>84</v>
      </c>
      <c r="K212" s="86" t="n">
        <v>84</v>
      </c>
      <c r="L212" s="86" t="n">
        <v>88</v>
      </c>
      <c r="M212" s="86" t="n">
        <v>90.98</v>
      </c>
      <c r="N212" s="86" t="n">
        <v>97</v>
      </c>
      <c r="O212" s="86" t="n">
        <v>97</v>
      </c>
      <c r="P212" s="10" t="n">
        <f aca="false">(O212/E212)^(1/10)-1</f>
        <v>0.0302530853065992</v>
      </c>
      <c r="Q212" s="11" t="n">
        <f aca="false">(O212-E212)/E212</f>
        <v>0.347222222222222</v>
      </c>
      <c r="R212" s="17" t="s">
        <v>28</v>
      </c>
    </row>
    <row r="213" customFormat="false" ht="15" hidden="false" customHeight="false" outlineLevel="0" collapsed="false">
      <c r="A213" s="13" t="s">
        <v>412</v>
      </c>
      <c r="B213" s="14" t="s">
        <v>427</v>
      </c>
      <c r="C213" s="15" t="s">
        <v>229</v>
      </c>
      <c r="D213" s="14" t="s">
        <v>110</v>
      </c>
      <c r="E213" s="9" t="s">
        <v>24</v>
      </c>
      <c r="F213" s="9" t="s">
        <v>24</v>
      </c>
      <c r="G213" s="9" t="s">
        <v>24</v>
      </c>
      <c r="H213" s="9" t="s">
        <v>24</v>
      </c>
      <c r="I213" s="9" t="s">
        <v>24</v>
      </c>
      <c r="J213" s="9" t="s">
        <v>24</v>
      </c>
      <c r="K213" s="9" t="s">
        <v>24</v>
      </c>
      <c r="L213" s="9" t="s">
        <v>24</v>
      </c>
      <c r="M213" s="9" t="s">
        <v>24</v>
      </c>
      <c r="N213" s="16" t="n">
        <v>127</v>
      </c>
      <c r="O213" s="16" t="n">
        <v>127</v>
      </c>
      <c r="P213" s="10" t="n">
        <f aca="false">(O213/N213)^(1/1)-1</f>
        <v>0</v>
      </c>
      <c r="Q213" s="11" t="n">
        <f aca="false">(O213-N213)/N213</f>
        <v>0</v>
      </c>
      <c r="R213" s="17" t="s">
        <v>28</v>
      </c>
    </row>
    <row r="214" customFormat="false" ht="15" hidden="false" customHeight="false" outlineLevel="0" collapsed="false">
      <c r="A214" s="83" t="s">
        <v>412</v>
      </c>
      <c r="B214" s="84" t="s">
        <v>428</v>
      </c>
      <c r="C214" s="85" t="s">
        <v>77</v>
      </c>
      <c r="D214" s="84" t="s">
        <v>368</v>
      </c>
      <c r="E214" s="9" t="s">
        <v>24</v>
      </c>
      <c r="F214" s="9" t="s">
        <v>24</v>
      </c>
      <c r="G214" s="9" t="s">
        <v>24</v>
      </c>
      <c r="H214" s="9" t="s">
        <v>24</v>
      </c>
      <c r="I214" s="9" t="s">
        <v>24</v>
      </c>
      <c r="J214" s="9" t="s">
        <v>24</v>
      </c>
      <c r="K214" s="9" t="s">
        <v>24</v>
      </c>
      <c r="L214" s="86" t="n">
        <v>99.99</v>
      </c>
      <c r="M214" s="86" t="n">
        <v>109</v>
      </c>
      <c r="N214" s="86" t="n">
        <v>114</v>
      </c>
      <c r="O214" s="86" t="n">
        <v>114</v>
      </c>
      <c r="P214" s="10" t="n">
        <f aca="false">(O214/L214)^(1/3)-1</f>
        <v>0.0446787506081576</v>
      </c>
      <c r="Q214" s="11" t="n">
        <f aca="false">(O214-L214)/L214</f>
        <v>0.14011401140114</v>
      </c>
      <c r="R214" s="17" t="s">
        <v>28</v>
      </c>
    </row>
    <row r="215" customFormat="false" ht="15" hidden="false" customHeight="false" outlineLevel="0" collapsed="false">
      <c r="A215" s="13" t="s">
        <v>412</v>
      </c>
      <c r="B215" s="14" t="s">
        <v>429</v>
      </c>
      <c r="C215" s="15" t="s">
        <v>430</v>
      </c>
      <c r="D215" s="14" t="s">
        <v>431</v>
      </c>
      <c r="E215" s="9" t="s">
        <v>24</v>
      </c>
      <c r="F215" s="9" t="s">
        <v>24</v>
      </c>
      <c r="G215" s="9" t="s">
        <v>24</v>
      </c>
      <c r="H215" s="9" t="s">
        <v>24</v>
      </c>
      <c r="I215" s="9" t="s">
        <v>24</v>
      </c>
      <c r="J215" s="9" t="s">
        <v>24</v>
      </c>
      <c r="K215" s="9" t="s">
        <v>24</v>
      </c>
      <c r="L215" s="9" t="s">
        <v>24</v>
      </c>
      <c r="M215" s="9" t="s">
        <v>24</v>
      </c>
      <c r="N215" s="16" t="n">
        <v>196</v>
      </c>
      <c r="O215" s="16" t="n">
        <v>196</v>
      </c>
      <c r="P215" s="10" t="n">
        <f aca="false">(O215/N215)^(1/1)-1</f>
        <v>0</v>
      </c>
      <c r="Q215" s="11" t="n">
        <f aca="false">(O215-N215)/N215</f>
        <v>0</v>
      </c>
      <c r="R215" s="17" t="s">
        <v>28</v>
      </c>
    </row>
    <row r="216" customFormat="false" ht="15" hidden="false" customHeight="false" outlineLevel="0" collapsed="false">
      <c r="A216" s="4" t="s">
        <v>432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customFormat="false" ht="15" hidden="false" customHeight="false" outlineLevel="0" collapsed="false">
      <c r="A217" s="13" t="s">
        <v>432</v>
      </c>
      <c r="B217" s="14" t="s">
        <v>433</v>
      </c>
      <c r="C217" s="15" t="s">
        <v>43</v>
      </c>
      <c r="D217" s="14" t="s">
        <v>365</v>
      </c>
      <c r="E217" s="16" t="n">
        <v>25</v>
      </c>
      <c r="F217" s="16" t="n">
        <v>25</v>
      </c>
      <c r="G217" s="9" t="s">
        <v>24</v>
      </c>
      <c r="H217" s="9" t="s">
        <v>24</v>
      </c>
      <c r="I217" s="9" t="s">
        <v>24</v>
      </c>
      <c r="J217" s="9" t="s">
        <v>24</v>
      </c>
      <c r="K217" s="9" t="s">
        <v>24</v>
      </c>
      <c r="L217" s="9" t="s">
        <v>24</v>
      </c>
      <c r="M217" s="9" t="s">
        <v>24</v>
      </c>
      <c r="N217" s="9" t="s">
        <v>24</v>
      </c>
      <c r="O217" s="9" t="s">
        <v>24</v>
      </c>
      <c r="P217" s="10" t="n">
        <f aca="false">(F217/E217)^(1/1)-1</f>
        <v>0</v>
      </c>
      <c r="Q217" s="11" t="n">
        <f aca="false">(F217-E217)/E217</f>
        <v>0</v>
      </c>
      <c r="R217" s="12" t="s">
        <v>25</v>
      </c>
    </row>
    <row r="218" customFormat="false" ht="15" hidden="false" customHeight="false" outlineLevel="0" collapsed="false">
      <c r="A218" s="87" t="s">
        <v>432</v>
      </c>
      <c r="B218" s="88" t="s">
        <v>434</v>
      </c>
      <c r="C218" s="89" t="s">
        <v>367</v>
      </c>
      <c r="D218" s="88" t="s">
        <v>435</v>
      </c>
      <c r="E218" s="9" t="s">
        <v>24</v>
      </c>
      <c r="F218" s="9" t="s">
        <v>24</v>
      </c>
      <c r="G218" s="9" t="s">
        <v>24</v>
      </c>
      <c r="H218" s="9" t="s">
        <v>24</v>
      </c>
      <c r="I218" s="9" t="s">
        <v>24</v>
      </c>
      <c r="J218" s="9" t="s">
        <v>24</v>
      </c>
      <c r="K218" s="9" t="s">
        <v>24</v>
      </c>
      <c r="L218" s="90" t="n">
        <v>45.9</v>
      </c>
      <c r="M218" s="90" t="n">
        <v>47.1</v>
      </c>
      <c r="N218" s="9" t="s">
        <v>24</v>
      </c>
      <c r="O218" s="9" t="s">
        <v>24</v>
      </c>
      <c r="P218" s="10" t="n">
        <f aca="false">(M218/L218)^(1/1)-1</f>
        <v>0.0261437908496733</v>
      </c>
      <c r="Q218" s="11" t="n">
        <f aca="false">(M218-L218)/L218</f>
        <v>0.0261437908496733</v>
      </c>
      <c r="R218" s="12" t="s">
        <v>25</v>
      </c>
    </row>
    <row r="219" customFormat="false" ht="15" hidden="false" customHeight="false" outlineLevel="0" collapsed="false">
      <c r="A219" s="13" t="s">
        <v>432</v>
      </c>
      <c r="B219" s="14" t="s">
        <v>436</v>
      </c>
      <c r="C219" s="15" t="s">
        <v>304</v>
      </c>
      <c r="D219" s="14" t="s">
        <v>437</v>
      </c>
      <c r="E219" s="9" t="s">
        <v>24</v>
      </c>
      <c r="F219" s="9" t="s">
        <v>24</v>
      </c>
      <c r="G219" s="9" t="s">
        <v>24</v>
      </c>
      <c r="H219" s="9" t="s">
        <v>24</v>
      </c>
      <c r="I219" s="9" t="s">
        <v>24</v>
      </c>
      <c r="J219" s="9" t="s">
        <v>24</v>
      </c>
      <c r="K219" s="9" t="s">
        <v>24</v>
      </c>
      <c r="L219" s="9" t="s">
        <v>24</v>
      </c>
      <c r="M219" s="16" t="n">
        <v>61.9</v>
      </c>
      <c r="N219" s="9" t="s">
        <v>24</v>
      </c>
      <c r="O219" s="9" t="s">
        <v>24</v>
      </c>
      <c r="P219" s="18" t="s">
        <v>24</v>
      </c>
      <c r="Q219" s="18" t="s">
        <v>24</v>
      </c>
      <c r="R219" s="12" t="s">
        <v>25</v>
      </c>
    </row>
    <row r="220" customFormat="false" ht="15" hidden="false" customHeight="false" outlineLevel="0" collapsed="false">
      <c r="A220" s="87" t="s">
        <v>432</v>
      </c>
      <c r="B220" s="88" t="s">
        <v>438</v>
      </c>
      <c r="C220" s="89" t="s">
        <v>377</v>
      </c>
      <c r="D220" s="88" t="s">
        <v>439</v>
      </c>
      <c r="E220" s="9" t="s">
        <v>24</v>
      </c>
      <c r="F220" s="9" t="s">
        <v>24</v>
      </c>
      <c r="G220" s="9" t="s">
        <v>24</v>
      </c>
      <c r="H220" s="90" t="n">
        <v>39.9</v>
      </c>
      <c r="I220" s="90" t="n">
        <v>39.9</v>
      </c>
      <c r="J220" s="90" t="n">
        <v>39.9</v>
      </c>
      <c r="K220" s="90" t="n">
        <v>42.25</v>
      </c>
      <c r="L220" s="90" t="n">
        <v>43.9</v>
      </c>
      <c r="M220" s="90" t="n">
        <v>43.9</v>
      </c>
      <c r="N220" s="90" t="n">
        <v>49.9</v>
      </c>
      <c r="O220" s="90" t="n">
        <v>48.15</v>
      </c>
      <c r="P220" s="10" t="n">
        <f aca="false">(O220/H220)^(1/7)-1</f>
        <v>0.0272129481831667</v>
      </c>
      <c r="Q220" s="11" t="n">
        <f aca="false">(O220-H220)/H220</f>
        <v>0.206766917293233</v>
      </c>
      <c r="R220" s="17" t="s">
        <v>28</v>
      </c>
    </row>
    <row r="221" customFormat="false" ht="15" hidden="false" customHeight="false" outlineLevel="0" collapsed="false">
      <c r="A221" s="13" t="s">
        <v>432</v>
      </c>
      <c r="B221" s="14" t="s">
        <v>440</v>
      </c>
      <c r="C221" s="15" t="s">
        <v>77</v>
      </c>
      <c r="D221" s="14" t="s">
        <v>441</v>
      </c>
      <c r="E221" s="9" t="s">
        <v>24</v>
      </c>
      <c r="F221" s="9" t="s">
        <v>24</v>
      </c>
      <c r="G221" s="9" t="s">
        <v>24</v>
      </c>
      <c r="H221" s="9" t="s">
        <v>24</v>
      </c>
      <c r="I221" s="9" t="s">
        <v>24</v>
      </c>
      <c r="J221" s="9" t="s">
        <v>24</v>
      </c>
      <c r="K221" s="9" t="s">
        <v>24</v>
      </c>
      <c r="L221" s="16" t="n">
        <v>55.9</v>
      </c>
      <c r="M221" s="16" t="n">
        <v>56.9</v>
      </c>
      <c r="N221" s="16" t="n">
        <v>56.9</v>
      </c>
      <c r="O221" s="16" t="n">
        <v>56.9</v>
      </c>
      <c r="P221" s="10" t="n">
        <f aca="false">(O221/L221)^(1/3)-1</f>
        <v>0.0059278207275848</v>
      </c>
      <c r="Q221" s="11" t="n">
        <f aca="false">(O221-L221)/L221</f>
        <v>0.0178890876565295</v>
      </c>
      <c r="R221" s="17" t="s">
        <v>28</v>
      </c>
    </row>
    <row r="222" customFormat="false" ht="15" hidden="false" customHeight="false" outlineLevel="0" collapsed="false">
      <c r="A222" s="87" t="s">
        <v>432</v>
      </c>
      <c r="B222" s="88" t="s">
        <v>442</v>
      </c>
      <c r="C222" s="89" t="s">
        <v>380</v>
      </c>
      <c r="D222" s="88" t="s">
        <v>443</v>
      </c>
      <c r="E222" s="90" t="n">
        <v>41.9</v>
      </c>
      <c r="F222" s="90" t="n">
        <v>43.9</v>
      </c>
      <c r="G222" s="90" t="n">
        <v>47.5</v>
      </c>
      <c r="H222" s="90" t="n">
        <v>57.9</v>
      </c>
      <c r="I222" s="90" t="n">
        <v>57.9</v>
      </c>
      <c r="J222" s="90" t="n">
        <v>59.9</v>
      </c>
      <c r="K222" s="90" t="n">
        <v>59.9</v>
      </c>
      <c r="L222" s="90" t="n">
        <v>63.9</v>
      </c>
      <c r="M222" s="90" t="n">
        <v>67.11</v>
      </c>
      <c r="N222" s="90" t="n">
        <v>67.11</v>
      </c>
      <c r="O222" s="90" t="n">
        <v>67.11</v>
      </c>
      <c r="P222" s="10" t="n">
        <f aca="false">(O222/E222)^(1/10)-1</f>
        <v>0.0482317780674766</v>
      </c>
      <c r="Q222" s="11" t="n">
        <f aca="false">(O222-E222)/E222</f>
        <v>0.601670644391408</v>
      </c>
      <c r="R222" s="17" t="s">
        <v>28</v>
      </c>
    </row>
    <row r="223" customFormat="false" ht="15" hidden="false" customHeight="false" outlineLevel="0" collapsed="false">
      <c r="A223" s="13" t="s">
        <v>432</v>
      </c>
      <c r="B223" s="14" t="s">
        <v>444</v>
      </c>
      <c r="C223" s="15" t="s">
        <v>229</v>
      </c>
      <c r="D223" s="14" t="s">
        <v>445</v>
      </c>
      <c r="E223" s="16" t="n">
        <v>71.9</v>
      </c>
      <c r="F223" s="16" t="n">
        <v>73.9</v>
      </c>
      <c r="G223" s="16" t="n">
        <v>78.9</v>
      </c>
      <c r="H223" s="16" t="n">
        <v>83.9</v>
      </c>
      <c r="I223" s="16" t="n">
        <v>83.9</v>
      </c>
      <c r="J223" s="16" t="n">
        <v>85.9</v>
      </c>
      <c r="K223" s="16" t="n">
        <v>90.75</v>
      </c>
      <c r="L223" s="16" t="n">
        <v>90.75</v>
      </c>
      <c r="M223" s="16" t="n">
        <v>99.75</v>
      </c>
      <c r="N223" s="16" t="n">
        <v>105</v>
      </c>
      <c r="O223" s="16" t="n">
        <v>105</v>
      </c>
      <c r="P223" s="10" t="n">
        <f aca="false">(O223/E223)^(1/10)-1</f>
        <v>0.0385945537152885</v>
      </c>
      <c r="Q223" s="11" t="n">
        <f aca="false">(O223-E223)/E223</f>
        <v>0.460361613351878</v>
      </c>
      <c r="R223" s="17" t="s">
        <v>28</v>
      </c>
    </row>
    <row r="224" customFormat="false" ht="15" hidden="false" customHeight="false" outlineLevel="0" collapsed="false">
      <c r="A224" s="4" t="s">
        <v>446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customFormat="false" ht="15" hidden="false" customHeight="false" outlineLevel="0" collapsed="false">
      <c r="A225" s="13" t="s">
        <v>446</v>
      </c>
      <c r="B225" s="14" t="s">
        <v>447</v>
      </c>
      <c r="C225" s="15" t="s">
        <v>380</v>
      </c>
      <c r="D225" s="14" t="s">
        <v>274</v>
      </c>
      <c r="E225" s="16" t="n">
        <v>38</v>
      </c>
      <c r="F225" s="16" t="n">
        <v>39</v>
      </c>
      <c r="G225" s="9" t="s">
        <v>24</v>
      </c>
      <c r="H225" s="9" t="s">
        <v>24</v>
      </c>
      <c r="I225" s="9" t="s">
        <v>24</v>
      </c>
      <c r="J225" s="9" t="s">
        <v>24</v>
      </c>
      <c r="K225" s="9" t="s">
        <v>24</v>
      </c>
      <c r="L225" s="9" t="s">
        <v>24</v>
      </c>
      <c r="M225" s="9" t="s">
        <v>24</v>
      </c>
      <c r="N225" s="9" t="s">
        <v>24</v>
      </c>
      <c r="O225" s="9" t="s">
        <v>24</v>
      </c>
      <c r="P225" s="10" t="n">
        <f aca="false">(F225/E225)^(1/1)-1</f>
        <v>0.0263157894736843</v>
      </c>
      <c r="Q225" s="11" t="n">
        <f aca="false">(F225-E225)/E225</f>
        <v>0.0263157894736842</v>
      </c>
      <c r="R225" s="12" t="s">
        <v>25</v>
      </c>
    </row>
    <row r="226" customFormat="false" ht="15" hidden="false" customHeight="false" outlineLevel="0" collapsed="false">
      <c r="A226" s="91" t="s">
        <v>446</v>
      </c>
      <c r="B226" s="92" t="s">
        <v>448</v>
      </c>
      <c r="C226" s="93" t="s">
        <v>377</v>
      </c>
      <c r="D226" s="92" t="s">
        <v>449</v>
      </c>
      <c r="E226" s="94" t="n">
        <v>43</v>
      </c>
      <c r="F226" s="94" t="n">
        <v>47</v>
      </c>
      <c r="G226" s="94" t="n">
        <v>49.5</v>
      </c>
      <c r="H226" s="94" t="n">
        <v>51</v>
      </c>
      <c r="I226" s="94" t="n">
        <v>55</v>
      </c>
      <c r="J226" s="94" t="n">
        <v>58</v>
      </c>
      <c r="K226" s="94" t="n">
        <v>61</v>
      </c>
      <c r="L226" s="94" t="n">
        <v>65</v>
      </c>
      <c r="M226" s="94" t="n">
        <v>67</v>
      </c>
      <c r="N226" s="94" t="n">
        <v>69</v>
      </c>
      <c r="O226" s="94" t="n">
        <v>72</v>
      </c>
      <c r="P226" s="10" t="n">
        <f aca="false">(O226/E226)^(1/10)-1</f>
        <v>0.0528982505572195</v>
      </c>
      <c r="Q226" s="11" t="n">
        <f aca="false">(O226-E226)/E226</f>
        <v>0.674418604651163</v>
      </c>
      <c r="R226" s="17" t="s">
        <v>28</v>
      </c>
    </row>
    <row r="227" customFormat="false" ht="15" hidden="false" customHeight="false" outlineLevel="0" collapsed="false">
      <c r="A227" s="13" t="s">
        <v>446</v>
      </c>
      <c r="B227" s="14" t="s">
        <v>450</v>
      </c>
      <c r="C227" s="15" t="s">
        <v>377</v>
      </c>
      <c r="D227" s="14" t="s">
        <v>451</v>
      </c>
      <c r="E227" s="16" t="n">
        <v>48</v>
      </c>
      <c r="F227" s="16" t="n">
        <v>49</v>
      </c>
      <c r="G227" s="16" t="n">
        <v>52</v>
      </c>
      <c r="H227" s="16" t="n">
        <v>54</v>
      </c>
      <c r="I227" s="16" t="n">
        <v>58</v>
      </c>
      <c r="J227" s="16" t="n">
        <v>62</v>
      </c>
      <c r="K227" s="16" t="n">
        <v>65</v>
      </c>
      <c r="L227" s="16" t="n">
        <v>67.9</v>
      </c>
      <c r="M227" s="16" t="n">
        <v>67.9</v>
      </c>
      <c r="N227" s="16" t="n">
        <v>72</v>
      </c>
      <c r="O227" s="16" t="n">
        <v>72</v>
      </c>
      <c r="P227" s="10" t="n">
        <f aca="false">(O227/E227)^(1/10)-1</f>
        <v>0.0413797439924106</v>
      </c>
      <c r="Q227" s="11" t="n">
        <f aca="false">(O227-E227)/E227</f>
        <v>0.5</v>
      </c>
      <c r="R227" s="17" t="s">
        <v>28</v>
      </c>
    </row>
    <row r="228" customFormat="false" ht="15" hidden="false" customHeight="false" outlineLevel="0" collapsed="false">
      <c r="A228" s="91" t="s">
        <v>446</v>
      </c>
      <c r="B228" s="92" t="s">
        <v>452</v>
      </c>
      <c r="C228" s="93" t="s">
        <v>224</v>
      </c>
      <c r="D228" s="92" t="s">
        <v>170</v>
      </c>
      <c r="E228" s="94" t="n">
        <v>55</v>
      </c>
      <c r="F228" s="94" t="n">
        <v>58</v>
      </c>
      <c r="G228" s="94" t="n">
        <v>60</v>
      </c>
      <c r="H228" s="94" t="n">
        <v>71</v>
      </c>
      <c r="I228" s="94" t="n">
        <v>75</v>
      </c>
      <c r="J228" s="94" t="n">
        <v>78</v>
      </c>
      <c r="K228" s="94" t="n">
        <v>78</v>
      </c>
      <c r="L228" s="9" t="s">
        <v>24</v>
      </c>
      <c r="M228" s="9" t="s">
        <v>24</v>
      </c>
      <c r="N228" s="9" t="s">
        <v>24</v>
      </c>
      <c r="O228" s="9" t="s">
        <v>24</v>
      </c>
      <c r="P228" s="10" t="n">
        <f aca="false">(K228/E228)^(1/6)-1</f>
        <v>0.0599579882119083</v>
      </c>
      <c r="Q228" s="11" t="n">
        <f aca="false">(K228-E228)/E228</f>
        <v>0.418181818181818</v>
      </c>
      <c r="R228" s="12" t="s">
        <v>25</v>
      </c>
    </row>
    <row r="229" customFormat="false" ht="15" hidden="false" customHeight="false" outlineLevel="0" collapsed="false">
      <c r="A229" s="13" t="s">
        <v>446</v>
      </c>
      <c r="B229" s="14" t="s">
        <v>453</v>
      </c>
      <c r="C229" s="15" t="s">
        <v>380</v>
      </c>
      <c r="D229" s="14" t="s">
        <v>439</v>
      </c>
      <c r="E229" s="9" t="s">
        <v>24</v>
      </c>
      <c r="F229" s="9" t="s">
        <v>24</v>
      </c>
      <c r="G229" s="9" t="s">
        <v>24</v>
      </c>
      <c r="H229" s="9" t="s">
        <v>24</v>
      </c>
      <c r="I229" s="9" t="s">
        <v>24</v>
      </c>
      <c r="J229" s="9" t="s">
        <v>24</v>
      </c>
      <c r="K229" s="16" t="n">
        <v>73.57</v>
      </c>
      <c r="L229" s="16" t="n">
        <v>79.69</v>
      </c>
      <c r="M229" s="16" t="n">
        <v>84.53</v>
      </c>
      <c r="N229" s="16" t="n">
        <v>91.1</v>
      </c>
      <c r="O229" s="16" t="n">
        <v>91.1</v>
      </c>
      <c r="P229" s="10" t="n">
        <f aca="false">(O229/K229)^(1/4)-1</f>
        <v>0.0548832713963785</v>
      </c>
      <c r="Q229" s="11" t="n">
        <f aca="false">(O229-K229)/K229</f>
        <v>0.238276471387794</v>
      </c>
      <c r="R229" s="17" t="s">
        <v>28</v>
      </c>
    </row>
    <row r="230" customFormat="false" ht="15" hidden="false" customHeight="false" outlineLevel="0" collapsed="false">
      <c r="A230" s="91" t="s">
        <v>446</v>
      </c>
      <c r="B230" s="92" t="s">
        <v>454</v>
      </c>
      <c r="C230" s="93" t="s">
        <v>380</v>
      </c>
      <c r="D230" s="92" t="s">
        <v>455</v>
      </c>
      <c r="E230" s="94" t="n">
        <v>105</v>
      </c>
      <c r="F230" s="94" t="n">
        <v>109</v>
      </c>
      <c r="G230" s="94" t="n">
        <v>112</v>
      </c>
      <c r="H230" s="94" t="n">
        <v>119</v>
      </c>
      <c r="I230" s="94" t="n">
        <v>139</v>
      </c>
      <c r="J230" s="94" t="n">
        <v>156</v>
      </c>
      <c r="K230" s="94" t="n">
        <v>156</v>
      </c>
      <c r="L230" s="94" t="n">
        <v>171</v>
      </c>
      <c r="M230" s="94" t="n">
        <v>185</v>
      </c>
      <c r="N230" s="94" t="n">
        <v>192</v>
      </c>
      <c r="O230" s="94" t="n">
        <v>213</v>
      </c>
      <c r="P230" s="10" t="n">
        <f aca="false">(O230/E230)^(1/10)-1</f>
        <v>0.0732948128071371</v>
      </c>
      <c r="Q230" s="11" t="n">
        <f aca="false">(O230-E230)/E230</f>
        <v>1.02857142857143</v>
      </c>
      <c r="R230" s="17" t="s">
        <v>28</v>
      </c>
    </row>
    <row r="231" customFormat="false" ht="15" hidden="false" customHeight="false" outlineLevel="0" collapsed="false">
      <c r="A231" s="13" t="s">
        <v>446</v>
      </c>
      <c r="B231" s="14" t="s">
        <v>456</v>
      </c>
      <c r="C231" s="15" t="s">
        <v>229</v>
      </c>
      <c r="D231" s="14" t="s">
        <v>457</v>
      </c>
      <c r="E231" s="9" t="s">
        <v>24</v>
      </c>
      <c r="F231" s="9" t="s">
        <v>24</v>
      </c>
      <c r="G231" s="9" t="s">
        <v>24</v>
      </c>
      <c r="H231" s="9" t="s">
        <v>24</v>
      </c>
      <c r="I231" s="9" t="s">
        <v>24</v>
      </c>
      <c r="J231" s="9" t="s">
        <v>24</v>
      </c>
      <c r="K231" s="9" t="s">
        <v>24</v>
      </c>
      <c r="L231" s="9" t="s">
        <v>24</v>
      </c>
      <c r="M231" s="16" t="n">
        <v>231</v>
      </c>
      <c r="N231" s="16" t="n">
        <v>236</v>
      </c>
      <c r="O231" s="16" t="n">
        <v>236</v>
      </c>
      <c r="P231" s="10" t="n">
        <f aca="false">(O231/M231)^(1/2)-1</f>
        <v>0.0107645728086347</v>
      </c>
      <c r="Q231" s="11" t="n">
        <f aca="false">(O231-M231)/M231</f>
        <v>0.0216450216450216</v>
      </c>
      <c r="R231" s="17" t="s">
        <v>28</v>
      </c>
    </row>
    <row r="232" customFormat="false" ht="15" hidden="false" customHeight="false" outlineLevel="0" collapsed="false">
      <c r="A232" s="91" t="s">
        <v>446</v>
      </c>
      <c r="B232" s="92" t="s">
        <v>458</v>
      </c>
      <c r="C232" s="93" t="s">
        <v>459</v>
      </c>
      <c r="D232" s="92" t="s">
        <v>460</v>
      </c>
      <c r="E232" s="9" t="s">
        <v>24</v>
      </c>
      <c r="F232" s="9" t="s">
        <v>24</v>
      </c>
      <c r="G232" s="9" t="s">
        <v>24</v>
      </c>
      <c r="H232" s="9" t="s">
        <v>24</v>
      </c>
      <c r="I232" s="9" t="s">
        <v>24</v>
      </c>
      <c r="J232" s="94" t="n">
        <v>75.53</v>
      </c>
      <c r="K232" s="94" t="n">
        <v>75.53</v>
      </c>
      <c r="L232" s="94" t="n">
        <v>83.97</v>
      </c>
      <c r="M232" s="94" t="n">
        <v>93.97</v>
      </c>
      <c r="N232" s="94" t="n">
        <v>101</v>
      </c>
      <c r="O232" s="94" t="n">
        <v>101</v>
      </c>
      <c r="P232" s="10" t="n">
        <f aca="false">(O232/J232)^(1/5)-1</f>
        <v>0.0598401742043595</v>
      </c>
      <c r="Q232" s="11" t="n">
        <f aca="false">(O232-J232)/J232</f>
        <v>0.337216999867602</v>
      </c>
      <c r="R232" s="17" t="s">
        <v>28</v>
      </c>
    </row>
    <row r="233" customFormat="false" ht="15" hidden="false" customHeight="false" outlineLevel="0" collapsed="false">
      <c r="A233" s="4" t="s">
        <v>461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customFormat="false" ht="15" hidden="false" customHeight="false" outlineLevel="0" collapsed="false">
      <c r="A234" s="95" t="s">
        <v>461</v>
      </c>
      <c r="B234" s="96" t="s">
        <v>462</v>
      </c>
      <c r="C234" s="97" t="s">
        <v>367</v>
      </c>
      <c r="D234" s="96" t="s">
        <v>170</v>
      </c>
      <c r="E234" s="9" t="s">
        <v>24</v>
      </c>
      <c r="F234" s="9" t="s">
        <v>24</v>
      </c>
      <c r="G234" s="9" t="s">
        <v>24</v>
      </c>
      <c r="H234" s="9" t="s">
        <v>24</v>
      </c>
      <c r="I234" s="98" t="n">
        <v>44</v>
      </c>
      <c r="J234" s="98" t="n">
        <v>45</v>
      </c>
      <c r="K234" s="9" t="s">
        <v>24</v>
      </c>
      <c r="L234" s="9" t="s">
        <v>24</v>
      </c>
      <c r="M234" s="9" t="s">
        <v>24</v>
      </c>
      <c r="N234" s="9" t="s">
        <v>24</v>
      </c>
      <c r="O234" s="9" t="s">
        <v>24</v>
      </c>
      <c r="P234" s="10" t="n">
        <f aca="false">(J234/I234)^(1/1)-1</f>
        <v>0.0227272727272727</v>
      </c>
      <c r="Q234" s="11" t="n">
        <f aca="false">(J234-I234)/I234</f>
        <v>0.0227272727272727</v>
      </c>
      <c r="R234" s="12" t="s">
        <v>25</v>
      </c>
    </row>
    <row r="235" customFormat="false" ht="15" hidden="false" customHeight="false" outlineLevel="0" collapsed="false">
      <c r="A235" s="13" t="s">
        <v>461</v>
      </c>
      <c r="B235" s="14" t="s">
        <v>463</v>
      </c>
      <c r="C235" s="15" t="s">
        <v>232</v>
      </c>
      <c r="D235" s="14" t="s">
        <v>170</v>
      </c>
      <c r="E235" s="16" t="n">
        <v>47</v>
      </c>
      <c r="F235" s="16" t="n">
        <v>50</v>
      </c>
      <c r="G235" s="16" t="n">
        <v>52</v>
      </c>
      <c r="H235" s="16" t="n">
        <v>54</v>
      </c>
      <c r="I235" s="16" t="n">
        <v>58.99</v>
      </c>
      <c r="J235" s="16" t="n">
        <v>59</v>
      </c>
      <c r="K235" s="9" t="s">
        <v>24</v>
      </c>
      <c r="L235" s="9" t="s">
        <v>24</v>
      </c>
      <c r="M235" s="9" t="s">
        <v>24</v>
      </c>
      <c r="N235" s="9" t="s">
        <v>24</v>
      </c>
      <c r="O235" s="9" t="s">
        <v>24</v>
      </c>
      <c r="P235" s="10" t="n">
        <f aca="false">(J235/E235)^(1/5)-1</f>
        <v>0.0465279477157801</v>
      </c>
      <c r="Q235" s="11" t="n">
        <f aca="false">(J235-E235)/E235</f>
        <v>0.25531914893617</v>
      </c>
      <c r="R235" s="12" t="s">
        <v>25</v>
      </c>
    </row>
    <row r="236" customFormat="false" ht="15" hidden="false" customHeight="false" outlineLevel="0" collapsed="false">
      <c r="A236" s="95" t="s">
        <v>461</v>
      </c>
      <c r="B236" s="96" t="s">
        <v>464</v>
      </c>
      <c r="C236" s="97" t="s">
        <v>380</v>
      </c>
      <c r="D236" s="96" t="s">
        <v>465</v>
      </c>
      <c r="E236" s="9" t="s">
        <v>24</v>
      </c>
      <c r="F236" s="98" t="n">
        <v>61.37</v>
      </c>
      <c r="G236" s="98" t="n">
        <v>62.1</v>
      </c>
      <c r="H236" s="98" t="n">
        <v>71.98</v>
      </c>
      <c r="I236" s="98" t="n">
        <v>71.98</v>
      </c>
      <c r="J236" s="98" t="n">
        <v>72.5</v>
      </c>
      <c r="K236" s="98" t="n">
        <v>72.5</v>
      </c>
      <c r="L236" s="98" t="n">
        <v>76</v>
      </c>
      <c r="M236" s="98" t="n">
        <v>80</v>
      </c>
      <c r="N236" s="98" t="n">
        <v>85</v>
      </c>
      <c r="O236" s="98" t="n">
        <v>85</v>
      </c>
      <c r="P236" s="10" t="n">
        <f aca="false">(O236/F236)^(1/9)-1</f>
        <v>0.0368551500736869</v>
      </c>
      <c r="Q236" s="11" t="n">
        <f aca="false">(O236-F236)/F236</f>
        <v>0.385041551246537</v>
      </c>
      <c r="R236" s="17" t="s">
        <v>28</v>
      </c>
    </row>
    <row r="237" customFormat="false" ht="15" hidden="false" customHeight="false" outlineLevel="0" collapsed="false">
      <c r="A237" s="13" t="s">
        <v>461</v>
      </c>
      <c r="B237" s="14" t="s">
        <v>466</v>
      </c>
      <c r="C237" s="15" t="s">
        <v>351</v>
      </c>
      <c r="D237" s="14" t="s">
        <v>431</v>
      </c>
      <c r="E237" s="9" t="s">
        <v>24</v>
      </c>
      <c r="F237" s="9" t="s">
        <v>24</v>
      </c>
      <c r="G237" s="9" t="s">
        <v>24</v>
      </c>
      <c r="H237" s="9" t="s">
        <v>24</v>
      </c>
      <c r="I237" s="9" t="s">
        <v>24</v>
      </c>
      <c r="J237" s="9" t="s">
        <v>24</v>
      </c>
      <c r="K237" s="9" t="s">
        <v>24</v>
      </c>
      <c r="L237" s="9" t="s">
        <v>24</v>
      </c>
      <c r="M237" s="9" t="s">
        <v>24</v>
      </c>
      <c r="N237" s="16" t="n">
        <v>90</v>
      </c>
      <c r="O237" s="16" t="n">
        <v>90</v>
      </c>
      <c r="P237" s="10" t="n">
        <f aca="false">(O237/N237)^(1/1)-1</f>
        <v>0</v>
      </c>
      <c r="Q237" s="11" t="n">
        <f aca="false">(O237-N237)/N237</f>
        <v>0</v>
      </c>
      <c r="R237" s="17" t="s">
        <v>28</v>
      </c>
    </row>
    <row r="238" customFormat="false" ht="15" hidden="false" customHeight="false" outlineLevel="0" collapsed="false">
      <c r="A238" s="4" t="s">
        <v>467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customFormat="false" ht="15" hidden="false" customHeight="false" outlineLevel="0" collapsed="false">
      <c r="A239" s="13" t="s">
        <v>467</v>
      </c>
      <c r="B239" s="14" t="s">
        <v>468</v>
      </c>
      <c r="C239" s="15" t="s">
        <v>380</v>
      </c>
      <c r="D239" s="14" t="s">
        <v>469</v>
      </c>
      <c r="E239" s="9" t="s">
        <v>24</v>
      </c>
      <c r="F239" s="9" t="s">
        <v>24</v>
      </c>
      <c r="G239" s="9" t="s">
        <v>24</v>
      </c>
      <c r="H239" s="9" t="s">
        <v>24</v>
      </c>
      <c r="I239" s="9" t="s">
        <v>24</v>
      </c>
      <c r="J239" s="9" t="s">
        <v>24</v>
      </c>
      <c r="K239" s="9" t="s">
        <v>24</v>
      </c>
      <c r="L239" s="16" t="n">
        <v>149</v>
      </c>
      <c r="M239" s="16" t="n">
        <v>160</v>
      </c>
      <c r="N239" s="16" t="n">
        <v>169</v>
      </c>
      <c r="O239" s="16" t="n">
        <v>169</v>
      </c>
      <c r="P239" s="10" t="n">
        <f aca="false">(O239/L239)^(1/3)-1</f>
        <v>0.0428779347438266</v>
      </c>
      <c r="Q239" s="11" t="n">
        <f aca="false">(O239-L239)/L239</f>
        <v>0.134228187919463</v>
      </c>
      <c r="R239" s="17" t="s">
        <v>28</v>
      </c>
    </row>
    <row r="240" customFormat="false" ht="15" hidden="false" customHeight="false" outlineLevel="0" collapsed="false">
      <c r="A240" s="99" t="s">
        <v>467</v>
      </c>
      <c r="B240" s="100" t="s">
        <v>470</v>
      </c>
      <c r="C240" s="101" t="s">
        <v>471</v>
      </c>
      <c r="D240" s="100" t="s">
        <v>375</v>
      </c>
      <c r="E240" s="9" t="s">
        <v>24</v>
      </c>
      <c r="F240" s="9" t="s">
        <v>24</v>
      </c>
      <c r="G240" s="9" t="s">
        <v>24</v>
      </c>
      <c r="H240" s="9" t="s">
        <v>24</v>
      </c>
      <c r="I240" s="9" t="s">
        <v>24</v>
      </c>
      <c r="J240" s="9" t="s">
        <v>24</v>
      </c>
      <c r="K240" s="9" t="s">
        <v>24</v>
      </c>
      <c r="L240" s="9" t="s">
        <v>24</v>
      </c>
      <c r="M240" s="102" t="n">
        <v>70.11</v>
      </c>
      <c r="N240" s="102" t="n">
        <v>76.66</v>
      </c>
      <c r="O240" s="102" t="n">
        <v>79.9</v>
      </c>
      <c r="P240" s="10" t="n">
        <f aca="false">(O240/M240)^(1/2)-1</f>
        <v>0.0675381548996716</v>
      </c>
      <c r="Q240" s="11" t="n">
        <f aca="false">(O240-M240)/M240</f>
        <v>0.139637712166595</v>
      </c>
      <c r="R240" s="17" t="s">
        <v>28</v>
      </c>
    </row>
    <row r="241" customFormat="false" ht="15" hidden="false" customHeight="false" outlineLevel="0" collapsed="false">
      <c r="A241" s="13" t="s">
        <v>467</v>
      </c>
      <c r="B241" s="14" t="s">
        <v>472</v>
      </c>
      <c r="C241" s="15" t="s">
        <v>351</v>
      </c>
      <c r="D241" s="14" t="s">
        <v>473</v>
      </c>
      <c r="E241" s="9" t="s">
        <v>24</v>
      </c>
      <c r="F241" s="9" t="s">
        <v>24</v>
      </c>
      <c r="G241" s="9" t="s">
        <v>24</v>
      </c>
      <c r="H241" s="9" t="s">
        <v>24</v>
      </c>
      <c r="I241" s="9" t="s">
        <v>24</v>
      </c>
      <c r="J241" s="9" t="s">
        <v>24</v>
      </c>
      <c r="K241" s="9" t="s">
        <v>24</v>
      </c>
      <c r="L241" s="16" t="n">
        <v>182</v>
      </c>
      <c r="M241" s="16" t="n">
        <v>205</v>
      </c>
      <c r="N241" s="16" t="n">
        <v>218</v>
      </c>
      <c r="O241" s="16" t="n">
        <v>218</v>
      </c>
      <c r="P241" s="10" t="n">
        <f aca="false">(O241/L241)^(1/3)-1</f>
        <v>0.0620094190093494</v>
      </c>
      <c r="Q241" s="11" t="n">
        <f aca="false">(O241-L241)/L241</f>
        <v>0.197802197802198</v>
      </c>
      <c r="R241" s="17" t="s">
        <v>28</v>
      </c>
    </row>
    <row r="242" customFormat="false" ht="15" hidden="false" customHeight="false" outlineLevel="0" collapsed="false">
      <c r="A242" s="99" t="s">
        <v>467</v>
      </c>
      <c r="B242" s="100" t="s">
        <v>474</v>
      </c>
      <c r="C242" s="101" t="s">
        <v>475</v>
      </c>
      <c r="D242" s="100" t="s">
        <v>368</v>
      </c>
      <c r="E242" s="9" t="s">
        <v>24</v>
      </c>
      <c r="F242" s="9" t="s">
        <v>24</v>
      </c>
      <c r="G242" s="9" t="s">
        <v>24</v>
      </c>
      <c r="H242" s="9" t="s">
        <v>24</v>
      </c>
      <c r="I242" s="9" t="s">
        <v>24</v>
      </c>
      <c r="J242" s="9" t="s">
        <v>24</v>
      </c>
      <c r="K242" s="9" t="s">
        <v>24</v>
      </c>
      <c r="L242" s="9" t="s">
        <v>24</v>
      </c>
      <c r="M242" s="102" t="n">
        <v>171</v>
      </c>
      <c r="N242" s="102" t="n">
        <v>190</v>
      </c>
      <c r="O242" s="102" t="n">
        <v>190</v>
      </c>
      <c r="P242" s="10" t="n">
        <f aca="false">(O242/M242)^(1/2)-1</f>
        <v>0.0540925533894598</v>
      </c>
      <c r="Q242" s="11" t="n">
        <f aca="false">(O242-M242)/M242</f>
        <v>0.111111111111111</v>
      </c>
      <c r="R242" s="17" t="s">
        <v>28</v>
      </c>
    </row>
    <row r="243" customFormat="false" ht="15" hidden="false" customHeight="false" outlineLevel="0" collapsed="false">
      <c r="A243" s="4" t="s">
        <v>476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customFormat="false" ht="15" hidden="false" customHeight="false" outlineLevel="0" collapsed="false">
      <c r="A244" s="103" t="s">
        <v>476</v>
      </c>
      <c r="B244" s="104" t="s">
        <v>477</v>
      </c>
      <c r="C244" s="105" t="s">
        <v>478</v>
      </c>
      <c r="D244" s="104" t="s">
        <v>479</v>
      </c>
      <c r="E244" s="9" t="s">
        <v>24</v>
      </c>
      <c r="F244" s="9" t="s">
        <v>24</v>
      </c>
      <c r="G244" s="9" t="s">
        <v>24</v>
      </c>
      <c r="H244" s="9" t="s">
        <v>24</v>
      </c>
      <c r="I244" s="9" t="s">
        <v>24</v>
      </c>
      <c r="J244" s="9" t="s">
        <v>24</v>
      </c>
      <c r="K244" s="9" t="s">
        <v>24</v>
      </c>
      <c r="L244" s="106" t="n">
        <v>315</v>
      </c>
      <c r="M244" s="106" t="n">
        <v>337</v>
      </c>
      <c r="N244" s="106" t="n">
        <v>408</v>
      </c>
      <c r="O244" s="106" t="n">
        <v>418</v>
      </c>
      <c r="P244" s="10" t="n">
        <f aca="false">(O244/L244)^(1/3)-1</f>
        <v>0.0988925843866124</v>
      </c>
      <c r="Q244" s="11" t="n">
        <f aca="false">(O244-L244)/L244</f>
        <v>0.326984126984127</v>
      </c>
      <c r="R244" s="17" t="s">
        <v>28</v>
      </c>
    </row>
    <row r="245" customFormat="false" ht="15" hidden="false" customHeight="false" outlineLevel="0" collapsed="false">
      <c r="A245" s="13" t="s">
        <v>476</v>
      </c>
      <c r="B245" s="14" t="s">
        <v>480</v>
      </c>
      <c r="C245" s="15" t="s">
        <v>481</v>
      </c>
      <c r="D245" s="14" t="s">
        <v>482</v>
      </c>
      <c r="E245" s="9" t="s">
        <v>24</v>
      </c>
      <c r="F245" s="9" t="s">
        <v>24</v>
      </c>
      <c r="G245" s="9" t="s">
        <v>24</v>
      </c>
      <c r="H245" s="9" t="s">
        <v>24</v>
      </c>
      <c r="I245" s="9" t="s">
        <v>24</v>
      </c>
      <c r="J245" s="9" t="s">
        <v>24</v>
      </c>
      <c r="K245" s="9" t="s">
        <v>24</v>
      </c>
      <c r="L245" s="16" t="n">
        <v>297</v>
      </c>
      <c r="M245" s="16" t="n">
        <v>349</v>
      </c>
      <c r="N245" s="9" t="s">
        <v>24</v>
      </c>
      <c r="O245" s="9" t="s">
        <v>24</v>
      </c>
      <c r="P245" s="10" t="n">
        <f aca="false">(M245/L245)^(1/1)-1</f>
        <v>0.175084175084175</v>
      </c>
      <c r="Q245" s="11" t="n">
        <f aca="false">(M245-L245)/L245</f>
        <v>0.175084175084175</v>
      </c>
      <c r="R245" s="12" t="s">
        <v>25</v>
      </c>
    </row>
    <row r="246" customFormat="false" ht="15" hidden="false" customHeight="false" outlineLevel="0" collapsed="false">
      <c r="A246" s="4" t="s">
        <v>483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customFormat="false" ht="15" hidden="false" customHeight="false" outlineLevel="0" collapsed="false">
      <c r="A247" s="13" t="s">
        <v>483</v>
      </c>
      <c r="B247" s="14" t="s">
        <v>484</v>
      </c>
      <c r="C247" s="15" t="s">
        <v>367</v>
      </c>
      <c r="D247" s="14" t="s">
        <v>439</v>
      </c>
      <c r="E247" s="9" t="s">
        <v>24</v>
      </c>
      <c r="F247" s="9" t="s">
        <v>24</v>
      </c>
      <c r="G247" s="9" t="s">
        <v>24</v>
      </c>
      <c r="H247" s="9" t="s">
        <v>24</v>
      </c>
      <c r="I247" s="9" t="s">
        <v>24</v>
      </c>
      <c r="J247" s="9" t="s">
        <v>24</v>
      </c>
      <c r="K247" s="9" t="s">
        <v>24</v>
      </c>
      <c r="L247" s="16" t="n">
        <v>56.4</v>
      </c>
      <c r="M247" s="16" t="n">
        <v>57.49</v>
      </c>
      <c r="N247" s="16" t="n">
        <v>57.3</v>
      </c>
      <c r="O247" s="16" t="n">
        <v>57.3</v>
      </c>
      <c r="P247" s="10" t="n">
        <f aca="false">(O247/L247)^(1/3)-1</f>
        <v>0.00529110378076036</v>
      </c>
      <c r="Q247" s="11" t="n">
        <f aca="false">(O247-L247)/L247</f>
        <v>0.0159574468085106</v>
      </c>
      <c r="R247" s="17" t="s">
        <v>28</v>
      </c>
    </row>
    <row r="248" customFormat="false" ht="15" hidden="false" customHeight="false" outlineLevel="0" collapsed="false">
      <c r="A248" s="107" t="s">
        <v>483</v>
      </c>
      <c r="B248" s="108" t="s">
        <v>485</v>
      </c>
      <c r="C248" s="109" t="s">
        <v>380</v>
      </c>
      <c r="D248" s="108" t="s">
        <v>486</v>
      </c>
      <c r="E248" s="9" t="s">
        <v>24</v>
      </c>
      <c r="F248" s="9" t="s">
        <v>24</v>
      </c>
      <c r="G248" s="9" t="s">
        <v>24</v>
      </c>
      <c r="H248" s="9" t="s">
        <v>24</v>
      </c>
      <c r="I248" s="9" t="s">
        <v>24</v>
      </c>
      <c r="J248" s="9" t="s">
        <v>24</v>
      </c>
      <c r="K248" s="9" t="s">
        <v>24</v>
      </c>
      <c r="L248" s="110" t="n">
        <v>61.3</v>
      </c>
      <c r="M248" s="110" t="n">
        <v>65.1</v>
      </c>
      <c r="N248" s="110" t="n">
        <v>67.7</v>
      </c>
      <c r="O248" s="110" t="n">
        <v>67.7</v>
      </c>
      <c r="P248" s="10" t="n">
        <f aca="false">(O248/L248)^(1/3)-1</f>
        <v>0.0336560828788002</v>
      </c>
      <c r="Q248" s="11" t="n">
        <f aca="false">(O248-L248)/L248</f>
        <v>0.104404567699837</v>
      </c>
      <c r="R248" s="17" t="s">
        <v>28</v>
      </c>
    </row>
    <row r="249" customFormat="false" ht="15" hidden="false" customHeight="false" outlineLevel="0" collapsed="false">
      <c r="A249" s="13" t="s">
        <v>483</v>
      </c>
      <c r="B249" s="14" t="s">
        <v>487</v>
      </c>
      <c r="C249" s="15" t="s">
        <v>380</v>
      </c>
      <c r="D249" s="14" t="s">
        <v>488</v>
      </c>
      <c r="E249" s="9" t="s">
        <v>24</v>
      </c>
      <c r="F249" s="9" t="s">
        <v>24</v>
      </c>
      <c r="G249" s="9" t="s">
        <v>24</v>
      </c>
      <c r="H249" s="9" t="s">
        <v>24</v>
      </c>
      <c r="I249" s="9" t="s">
        <v>24</v>
      </c>
      <c r="J249" s="9" t="s">
        <v>24</v>
      </c>
      <c r="K249" s="9" t="s">
        <v>24</v>
      </c>
      <c r="L249" s="16" t="n">
        <v>80.6</v>
      </c>
      <c r="M249" s="16" t="n">
        <v>86.5</v>
      </c>
      <c r="N249" s="16" t="n">
        <v>97.6</v>
      </c>
      <c r="O249" s="16" t="n">
        <v>97.6</v>
      </c>
      <c r="P249" s="10" t="n">
        <f aca="false">(O249/L249)^(1/3)-1</f>
        <v>0.0658716850153209</v>
      </c>
      <c r="Q249" s="11" t="n">
        <f aca="false">(O249-L249)/L249</f>
        <v>0.210918114143921</v>
      </c>
      <c r="R249" s="17" t="s">
        <v>28</v>
      </c>
    </row>
    <row r="250" customFormat="false" ht="15" hidden="false" customHeight="false" outlineLevel="0" collapsed="false">
      <c r="A250" s="107" t="s">
        <v>483</v>
      </c>
      <c r="B250" s="108" t="s">
        <v>489</v>
      </c>
      <c r="C250" s="109" t="s">
        <v>229</v>
      </c>
      <c r="D250" s="108" t="s">
        <v>490</v>
      </c>
      <c r="E250" s="9" t="s">
        <v>24</v>
      </c>
      <c r="F250" s="9" t="s">
        <v>24</v>
      </c>
      <c r="G250" s="9" t="s">
        <v>24</v>
      </c>
      <c r="H250" s="9" t="s">
        <v>24</v>
      </c>
      <c r="I250" s="9" t="s">
        <v>24</v>
      </c>
      <c r="J250" s="9" t="s">
        <v>24</v>
      </c>
      <c r="K250" s="9" t="s">
        <v>24</v>
      </c>
      <c r="L250" s="9" t="s">
        <v>24</v>
      </c>
      <c r="M250" s="9" t="s">
        <v>24</v>
      </c>
      <c r="N250" s="110" t="n">
        <v>299</v>
      </c>
      <c r="O250" s="110" t="n">
        <v>299</v>
      </c>
      <c r="P250" s="10" t="n">
        <f aca="false">(O250/N250)^(1/1)-1</f>
        <v>0</v>
      </c>
      <c r="Q250" s="11" t="n">
        <f aca="false">(O250-N250)/N250</f>
        <v>0</v>
      </c>
      <c r="R250" s="17" t="s">
        <v>28</v>
      </c>
    </row>
    <row r="251" customFormat="false" ht="15" hidden="false" customHeight="false" outlineLevel="0" collapsed="false">
      <c r="A251" s="4" t="s">
        <v>491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customFormat="false" ht="15" hidden="false" customHeight="false" outlineLevel="0" collapsed="false">
      <c r="A252" s="111" t="s">
        <v>491</v>
      </c>
      <c r="B252" s="112" t="s">
        <v>492</v>
      </c>
      <c r="C252" s="113" t="s">
        <v>238</v>
      </c>
      <c r="D252" s="112" t="s">
        <v>493</v>
      </c>
      <c r="E252" s="9" t="s">
        <v>24</v>
      </c>
      <c r="F252" s="9" t="s">
        <v>24</v>
      </c>
      <c r="G252" s="114" t="n">
        <v>14.95</v>
      </c>
      <c r="H252" s="114" t="n">
        <v>15.29</v>
      </c>
      <c r="I252" s="114" t="n">
        <v>16.59</v>
      </c>
      <c r="J252" s="114" t="n">
        <v>16.59</v>
      </c>
      <c r="K252" s="114" t="n">
        <v>16.59</v>
      </c>
      <c r="L252" s="114" t="n">
        <v>17.5</v>
      </c>
      <c r="M252" s="114" t="n">
        <v>18</v>
      </c>
      <c r="N252" s="114" t="n">
        <v>19.14</v>
      </c>
      <c r="O252" s="114" t="n">
        <v>19.14</v>
      </c>
      <c r="P252" s="10" t="n">
        <f aca="false">(O252/G252)^(1/8)-1</f>
        <v>0.0313654828569441</v>
      </c>
      <c r="Q252" s="11" t="n">
        <f aca="false">(O252-G252)/G252</f>
        <v>0.280267558528428</v>
      </c>
      <c r="R252" s="17" t="s">
        <v>28</v>
      </c>
    </row>
    <row r="253" customFormat="false" ht="15" hidden="false" customHeight="false" outlineLevel="0" collapsed="false">
      <c r="A253" s="13" t="s">
        <v>491</v>
      </c>
      <c r="B253" s="14" t="s">
        <v>494</v>
      </c>
      <c r="C253" s="15" t="s">
        <v>224</v>
      </c>
      <c r="D253" s="14" t="s">
        <v>495</v>
      </c>
      <c r="E253" s="9" t="s">
        <v>24</v>
      </c>
      <c r="F253" s="9" t="s">
        <v>24</v>
      </c>
      <c r="G253" s="9" t="s">
        <v>24</v>
      </c>
      <c r="H253" s="9" t="s">
        <v>24</v>
      </c>
      <c r="I253" s="9" t="s">
        <v>24</v>
      </c>
      <c r="J253" s="9" t="s">
        <v>24</v>
      </c>
      <c r="K253" s="9" t="s">
        <v>24</v>
      </c>
      <c r="L253" s="16" t="n">
        <v>32.99</v>
      </c>
      <c r="M253" s="16" t="n">
        <v>32.99</v>
      </c>
      <c r="N253" s="16" t="n">
        <v>33.99</v>
      </c>
      <c r="O253" s="16" t="n">
        <v>33.99</v>
      </c>
      <c r="P253" s="10" t="n">
        <f aca="false">(O253/L253)^(1/3)-1</f>
        <v>0.0100036649290196</v>
      </c>
      <c r="Q253" s="11" t="n">
        <f aca="false">(O253-L253)/L253</f>
        <v>0.0303122158229767</v>
      </c>
      <c r="R253" s="17" t="s">
        <v>28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14" min="3" style="0" width="9"/>
    <col collapsed="false" customWidth="true" hidden="false" outlineLevel="0" max="15" min="15" style="0" width="11"/>
  </cols>
  <sheetData>
    <row r="1" customFormat="false" ht="16.15" hidden="false" customHeight="false" outlineLevel="0" collapsed="false">
      <c r="A1" s="1" t="s">
        <v>496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30" hidden="false" customHeight="true" outlineLevel="0" collapsed="false">
      <c r="A3" s="3" t="s">
        <v>2</v>
      </c>
      <c r="B3" s="3" t="s">
        <v>497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498</v>
      </c>
      <c r="O3" s="3" t="s">
        <v>499</v>
      </c>
    </row>
    <row r="4" customFormat="false" ht="15" hidden="false" customHeight="false" outlineLevel="0" collapsed="false">
      <c r="A4" s="19" t="s">
        <v>20</v>
      </c>
      <c r="B4" s="21" t="s">
        <v>500</v>
      </c>
      <c r="C4" s="22" t="n">
        <v>5.2</v>
      </c>
      <c r="D4" s="22" t="n">
        <v>5.47</v>
      </c>
      <c r="E4" s="22" t="n">
        <v>5.64</v>
      </c>
      <c r="F4" s="22" t="n">
        <v>5.73</v>
      </c>
      <c r="G4" s="22" t="n">
        <v>5.97</v>
      </c>
      <c r="H4" s="22" t="n">
        <v>6.12</v>
      </c>
      <c r="I4" s="22" t="n">
        <v>6.31</v>
      </c>
      <c r="J4" s="22" t="n">
        <v>6.98</v>
      </c>
      <c r="K4" s="22" t="n">
        <v>8.71</v>
      </c>
      <c r="L4" s="22" t="n">
        <v>8.9</v>
      </c>
      <c r="M4" s="22" t="n">
        <v>8.55</v>
      </c>
      <c r="N4" s="10" t="n">
        <f aca="false">(M4/C4)^(1/10)-1</f>
        <v>0.0509844178227339</v>
      </c>
      <c r="O4" s="11" t="n">
        <f aca="false">(M4-C4)/C4</f>
        <v>0.644230769230769</v>
      </c>
    </row>
    <row r="5" customFormat="false" ht="15" hidden="false" customHeight="false" outlineLevel="0" collapsed="false">
      <c r="A5" s="13" t="s">
        <v>79</v>
      </c>
      <c r="B5" s="15" t="s">
        <v>500</v>
      </c>
      <c r="C5" s="16" t="n">
        <v>9.01</v>
      </c>
      <c r="D5" s="16" t="n">
        <v>9.15</v>
      </c>
      <c r="E5" s="16" t="n">
        <v>9.54</v>
      </c>
      <c r="F5" s="16" t="n">
        <v>9.48</v>
      </c>
      <c r="G5" s="16" t="n">
        <v>10.99</v>
      </c>
      <c r="H5" s="16" t="n">
        <v>11.28</v>
      </c>
      <c r="I5" s="16" t="n">
        <v>11.69</v>
      </c>
      <c r="J5" s="16" t="n">
        <v>13.92</v>
      </c>
      <c r="K5" s="16" t="n">
        <v>14</v>
      </c>
      <c r="L5" s="16" t="n">
        <v>14.49</v>
      </c>
      <c r="M5" s="16" t="n">
        <v>13.66</v>
      </c>
      <c r="N5" s="10" t="n">
        <f aca="false">(M5/C5)^(1/10)-1</f>
        <v>0.0424916637461108</v>
      </c>
      <c r="O5" s="11" t="n">
        <f aca="false">(M5-C5)/C5</f>
        <v>0.516093229744728</v>
      </c>
    </row>
    <row r="6" customFormat="false" ht="15" hidden="false" customHeight="false" outlineLevel="0" collapsed="false">
      <c r="A6" s="19" t="s">
        <v>121</v>
      </c>
      <c r="B6" s="21" t="s">
        <v>500</v>
      </c>
      <c r="C6" s="22" t="n">
        <v>3.84</v>
      </c>
      <c r="D6" s="22" t="n">
        <v>5.85</v>
      </c>
      <c r="E6" s="22" t="n">
        <v>5.84</v>
      </c>
      <c r="F6" s="22" t="n">
        <v>6.77</v>
      </c>
      <c r="G6" s="22" t="n">
        <v>7.09</v>
      </c>
      <c r="H6" s="22" t="n">
        <v>8.44</v>
      </c>
      <c r="I6" s="22" t="n">
        <v>9.58</v>
      </c>
      <c r="J6" s="22" t="n">
        <v>9.79</v>
      </c>
      <c r="K6" s="22" t="n">
        <v>10.37</v>
      </c>
      <c r="L6" s="22" t="n">
        <v>10.23</v>
      </c>
      <c r="M6" s="22" t="n">
        <v>10.7</v>
      </c>
      <c r="N6" s="10" t="n">
        <f aca="false">(M6/C6)^(1/10)-1</f>
        <v>0.107911971968194</v>
      </c>
      <c r="O6" s="11" t="n">
        <f aca="false">(M6-C6)/C6</f>
        <v>1.78645833333333</v>
      </c>
    </row>
    <row r="7" customFormat="false" ht="15" hidden="false" customHeight="false" outlineLevel="0" collapsed="false">
      <c r="A7" s="13" t="s">
        <v>166</v>
      </c>
      <c r="B7" s="15" t="s">
        <v>500</v>
      </c>
      <c r="C7" s="16" t="n">
        <v>8.38</v>
      </c>
      <c r="D7" s="16" t="n">
        <v>8.13</v>
      </c>
      <c r="E7" s="16" t="n">
        <v>8.38</v>
      </c>
      <c r="F7" s="16" t="n">
        <v>8.85</v>
      </c>
      <c r="G7" s="16" t="n">
        <v>9.28</v>
      </c>
      <c r="H7" s="16" t="n">
        <v>9.62</v>
      </c>
      <c r="I7" s="16" t="n">
        <v>10.03</v>
      </c>
      <c r="J7" s="16" t="n">
        <v>10.68</v>
      </c>
      <c r="K7" s="16" t="n">
        <v>11.71</v>
      </c>
      <c r="L7" s="16" t="n">
        <v>12.05</v>
      </c>
      <c r="M7" s="16" t="n">
        <v>13.47</v>
      </c>
      <c r="N7" s="10" t="n">
        <f aca="false">(M7/C7)^(1/10)-1</f>
        <v>0.0486060467027822</v>
      </c>
      <c r="O7" s="11" t="n">
        <f aca="false">(M7-C7)/C7</f>
        <v>0.607398568019093</v>
      </c>
    </row>
    <row r="8" customFormat="false" ht="15" hidden="false" customHeight="false" outlineLevel="0" collapsed="false">
      <c r="A8" s="19" t="s">
        <v>198</v>
      </c>
      <c r="B8" s="21" t="s">
        <v>500</v>
      </c>
      <c r="C8" s="18" t="s">
        <v>24</v>
      </c>
      <c r="D8" s="18" t="s">
        <v>24</v>
      </c>
      <c r="E8" s="18" t="s">
        <v>24</v>
      </c>
      <c r="F8" s="18" t="s">
        <v>24</v>
      </c>
      <c r="G8" s="22" t="n">
        <v>9.89</v>
      </c>
      <c r="H8" s="22" t="n">
        <v>8.34</v>
      </c>
      <c r="I8" s="22" t="n">
        <v>8.34</v>
      </c>
      <c r="J8" s="22" t="n">
        <v>22.12</v>
      </c>
      <c r="K8" s="22" t="n">
        <v>22.21</v>
      </c>
      <c r="L8" s="22" t="n">
        <v>22.61</v>
      </c>
      <c r="M8" s="22" t="n">
        <v>19.89</v>
      </c>
      <c r="N8" s="10" t="n">
        <f aca="false">(M8/G8)^(1/6)-1</f>
        <v>0.123500013364366</v>
      </c>
      <c r="O8" s="11" t="n">
        <f aca="false">(M8-G8)/G8</f>
        <v>1.01112234580384</v>
      </c>
    </row>
    <row r="9" customFormat="false" ht="15" hidden="false" customHeight="false" outlineLevel="0" collapsed="false">
      <c r="A9" s="13" t="s">
        <v>207</v>
      </c>
      <c r="B9" s="15" t="s">
        <v>500</v>
      </c>
      <c r="C9" s="16" t="n">
        <v>16.5</v>
      </c>
      <c r="D9" s="16" t="n">
        <v>16.3</v>
      </c>
      <c r="E9" s="16" t="n">
        <v>16.66</v>
      </c>
      <c r="F9" s="16" t="n">
        <v>18.3</v>
      </c>
      <c r="G9" s="16" t="n">
        <v>16.74</v>
      </c>
      <c r="H9" s="16" t="n">
        <v>22.24</v>
      </c>
      <c r="I9" s="16" t="n">
        <v>32.59</v>
      </c>
      <c r="J9" s="16" t="n">
        <v>46.7</v>
      </c>
      <c r="K9" s="16" t="n">
        <v>43.58</v>
      </c>
      <c r="L9" s="16" t="n">
        <v>54.03</v>
      </c>
      <c r="M9" s="16" t="n">
        <v>56.44</v>
      </c>
      <c r="N9" s="10" t="n">
        <f aca="false">(M9/C9)^(1/10)-1</f>
        <v>0.130863810323212</v>
      </c>
      <c r="O9" s="11" t="n">
        <f aca="false">(M9-C9)/C9</f>
        <v>2.42060606060606</v>
      </c>
    </row>
    <row r="10" customFormat="false" ht="15" hidden="false" customHeight="false" outlineLevel="0" collapsed="false">
      <c r="A10" s="19" t="s">
        <v>240</v>
      </c>
      <c r="B10" s="21" t="s">
        <v>500</v>
      </c>
      <c r="C10" s="22" t="n">
        <v>13.5</v>
      </c>
      <c r="D10" s="22" t="n">
        <v>8.33</v>
      </c>
      <c r="E10" s="22" t="n">
        <v>11.3</v>
      </c>
      <c r="F10" s="22" t="n">
        <v>15.57</v>
      </c>
      <c r="G10" s="22" t="n">
        <v>12.27</v>
      </c>
      <c r="H10" s="22" t="n">
        <v>13.98</v>
      </c>
      <c r="I10" s="22" t="n">
        <v>8.61</v>
      </c>
      <c r="J10" s="22" t="n">
        <v>8.91</v>
      </c>
      <c r="K10" s="22" t="n">
        <v>10.06</v>
      </c>
      <c r="L10" s="22" t="n">
        <v>10.2</v>
      </c>
      <c r="M10" s="22" t="n">
        <v>10.2</v>
      </c>
      <c r="N10" s="10" t="n">
        <f aca="false">(M10/C10)^(1/10)-1</f>
        <v>-0.0276409954957396</v>
      </c>
      <c r="O10" s="11" t="n">
        <f aca="false">(M10-C10)/C10</f>
        <v>-0.244444444444445</v>
      </c>
    </row>
    <row r="11" customFormat="false" ht="15" hidden="false" customHeight="false" outlineLevel="0" collapsed="false">
      <c r="A11" s="13" t="s">
        <v>255</v>
      </c>
      <c r="B11" s="15" t="s">
        <v>500</v>
      </c>
      <c r="C11" s="18" t="s">
        <v>24</v>
      </c>
      <c r="D11" s="18" t="s">
        <v>24</v>
      </c>
      <c r="E11" s="18" t="s">
        <v>24</v>
      </c>
      <c r="F11" s="18" t="s">
        <v>24</v>
      </c>
      <c r="G11" s="16" t="n">
        <v>12.18</v>
      </c>
      <c r="H11" s="16" t="n">
        <v>19.36</v>
      </c>
      <c r="I11" s="16" t="n">
        <v>19.69</v>
      </c>
      <c r="J11" s="16" t="n">
        <v>19.39</v>
      </c>
      <c r="K11" s="16" t="n">
        <v>18.02</v>
      </c>
      <c r="L11" s="16" t="n">
        <v>16.96</v>
      </c>
      <c r="M11" s="16" t="n">
        <v>16.88</v>
      </c>
      <c r="N11" s="10" t="n">
        <f aca="false">(M11/G11)^(1/6)-1</f>
        <v>0.055895305462154</v>
      </c>
      <c r="O11" s="11" t="n">
        <f aca="false">(M11-G11)/G11</f>
        <v>0.385878489326765</v>
      </c>
    </row>
    <row r="12" customFormat="false" ht="15" hidden="false" customHeight="false" outlineLevel="0" collapsed="false">
      <c r="A12" s="115" t="s">
        <v>272</v>
      </c>
      <c r="B12" s="116" t="s">
        <v>501</v>
      </c>
      <c r="C12" s="117" t="n">
        <v>7.27</v>
      </c>
      <c r="D12" s="117" t="n">
        <v>6.22</v>
      </c>
      <c r="E12" s="117" t="n">
        <v>6.61</v>
      </c>
      <c r="F12" s="117" t="n">
        <v>5.41</v>
      </c>
      <c r="G12" s="117" t="n">
        <v>5.26</v>
      </c>
      <c r="H12" s="117" t="n">
        <v>6.03</v>
      </c>
      <c r="I12" s="117" t="n">
        <v>4.63</v>
      </c>
      <c r="J12" s="117" t="n">
        <v>5.22</v>
      </c>
      <c r="K12" s="117" t="n">
        <v>5.39</v>
      </c>
      <c r="L12" s="117" t="n">
        <v>5.39</v>
      </c>
      <c r="M12" s="117" t="n">
        <v>7.66</v>
      </c>
      <c r="N12" s="10" t="n">
        <f aca="false">(M12/C12)^(1/10)-1</f>
        <v>0.00523924632071382</v>
      </c>
      <c r="O12" s="11" t="n">
        <f aca="false">(M12-C12)/C12</f>
        <v>0.0536451169188446</v>
      </c>
    </row>
    <row r="13" customFormat="false" ht="15" hidden="false" customHeight="false" outlineLevel="0" collapsed="false">
      <c r="A13" s="13" t="s">
        <v>287</v>
      </c>
      <c r="B13" s="15" t="s">
        <v>501</v>
      </c>
      <c r="C13" s="16" t="n">
        <v>7.38</v>
      </c>
      <c r="D13" s="16" t="n">
        <v>7.49</v>
      </c>
      <c r="E13" s="16" t="n">
        <v>7.64</v>
      </c>
      <c r="F13" s="16" t="n">
        <v>7.81</v>
      </c>
      <c r="G13" s="16" t="n">
        <v>14.29</v>
      </c>
      <c r="H13" s="16" t="n">
        <v>20.27</v>
      </c>
      <c r="I13" s="16" t="n">
        <v>4.99</v>
      </c>
      <c r="J13" s="16" t="n">
        <v>5.49</v>
      </c>
      <c r="K13" s="16" t="n">
        <v>5.99</v>
      </c>
      <c r="L13" s="16" t="n">
        <v>5.99</v>
      </c>
      <c r="M13" s="16" t="n">
        <v>5.99</v>
      </c>
      <c r="N13" s="10" t="n">
        <f aca="false">(M13/C13)^(1/10)-1</f>
        <v>-0.0206519880462787</v>
      </c>
      <c r="O13" s="11" t="n">
        <f aca="false">(M13-C13)/C13</f>
        <v>-0.188346883468835</v>
      </c>
    </row>
    <row r="14" customFormat="false" ht="15" hidden="false" customHeight="false" outlineLevel="0" collapsed="false">
      <c r="A14" s="75" t="s">
        <v>298</v>
      </c>
      <c r="B14" s="77" t="s">
        <v>502</v>
      </c>
      <c r="C14" s="78" t="n">
        <v>14.45</v>
      </c>
      <c r="D14" s="78" t="n">
        <v>14.99</v>
      </c>
      <c r="E14" s="78" t="n">
        <v>14.65</v>
      </c>
      <c r="F14" s="78" t="n">
        <v>19.19</v>
      </c>
      <c r="G14" s="78" t="n">
        <v>23.61</v>
      </c>
      <c r="H14" s="78" t="n">
        <v>22.31</v>
      </c>
      <c r="I14" s="78" t="n">
        <v>15.24</v>
      </c>
      <c r="J14" s="78" t="n">
        <v>20.79</v>
      </c>
      <c r="K14" s="78" t="n">
        <v>21.66</v>
      </c>
      <c r="L14" s="78" t="n">
        <v>14.76</v>
      </c>
      <c r="M14" s="78" t="n">
        <v>9.69</v>
      </c>
      <c r="N14" s="10" t="n">
        <f aca="false">(M14/C14)^(1/10)-1</f>
        <v>-0.0391721274114834</v>
      </c>
      <c r="O14" s="11" t="n">
        <f aca="false">(M14-C14)/C14</f>
        <v>-0.329411764705882</v>
      </c>
    </row>
    <row r="15" customFormat="false" ht="15" hidden="false" customHeight="false" outlineLevel="0" collapsed="false">
      <c r="A15" s="13" t="s">
        <v>314</v>
      </c>
      <c r="B15" s="15" t="s">
        <v>502</v>
      </c>
      <c r="C15" s="16" t="n">
        <v>9.25</v>
      </c>
      <c r="D15" s="16" t="n">
        <v>8.65</v>
      </c>
      <c r="E15" s="16" t="n">
        <v>8.8</v>
      </c>
      <c r="F15" s="16" t="n">
        <v>15.91</v>
      </c>
      <c r="G15" s="16" t="n">
        <v>16.99</v>
      </c>
      <c r="H15" s="16" t="n">
        <v>13.41</v>
      </c>
      <c r="I15" s="18" t="s">
        <v>24</v>
      </c>
      <c r="J15" s="16" t="n">
        <v>10.85</v>
      </c>
      <c r="K15" s="16" t="n">
        <v>11.1</v>
      </c>
      <c r="L15" s="16" t="n">
        <v>19.15</v>
      </c>
      <c r="M15" s="16" t="n">
        <v>19.15</v>
      </c>
      <c r="N15" s="10" t="n">
        <f aca="false">(M15/C15)^(1/10)-1</f>
        <v>0.0754809064787576</v>
      </c>
      <c r="O15" s="11" t="n">
        <f aca="false">(M15-C15)/C15</f>
        <v>1.07027027027027</v>
      </c>
    </row>
    <row r="16" customFormat="false" ht="15" hidden="false" customHeight="false" outlineLevel="0" collapsed="false">
      <c r="A16" s="75" t="s">
        <v>331</v>
      </c>
      <c r="B16" s="77" t="s">
        <v>502</v>
      </c>
      <c r="C16" s="18" t="s">
        <v>24</v>
      </c>
      <c r="D16" s="78" t="n">
        <v>14.95</v>
      </c>
      <c r="E16" s="78" t="n">
        <v>15.06</v>
      </c>
      <c r="F16" s="78" t="n">
        <v>15</v>
      </c>
      <c r="G16" s="78" t="n">
        <v>16.25</v>
      </c>
      <c r="H16" s="78" t="n">
        <v>16.49</v>
      </c>
      <c r="I16" s="78" t="n">
        <v>35.2</v>
      </c>
      <c r="J16" s="78" t="n">
        <v>46.07</v>
      </c>
      <c r="K16" s="78" t="n">
        <v>46.07</v>
      </c>
      <c r="L16" s="78" t="n">
        <v>48.56</v>
      </c>
      <c r="M16" s="78" t="n">
        <v>35.54</v>
      </c>
      <c r="N16" s="10" t="n">
        <f aca="false">(M16/D16)^(1/9)-1</f>
        <v>0.100997284597864</v>
      </c>
      <c r="O16" s="11" t="n">
        <f aca="false">(M16-D16)/D16</f>
        <v>1.37725752508361</v>
      </c>
    </row>
    <row r="17" customFormat="false" ht="15" hidden="false" customHeight="false" outlineLevel="0" collapsed="false">
      <c r="A17" s="13" t="s">
        <v>342</v>
      </c>
      <c r="B17" s="15" t="s">
        <v>500</v>
      </c>
      <c r="C17" s="16" t="n">
        <v>10.54</v>
      </c>
      <c r="D17" s="16" t="n">
        <v>10.8</v>
      </c>
      <c r="E17" s="16" t="n">
        <v>11.18</v>
      </c>
      <c r="F17" s="16" t="n">
        <v>10.48</v>
      </c>
      <c r="G17" s="16" t="n">
        <v>21.43</v>
      </c>
      <c r="H17" s="16" t="n">
        <v>21.67</v>
      </c>
      <c r="I17" s="18" t="s">
        <v>24</v>
      </c>
      <c r="J17" s="18" t="s">
        <v>24</v>
      </c>
      <c r="K17" s="18" t="s">
        <v>24</v>
      </c>
      <c r="L17" s="18" t="s">
        <v>24</v>
      </c>
      <c r="M17" s="18" t="s">
        <v>24</v>
      </c>
      <c r="N17" s="10" t="n">
        <f aca="false">(H17/C17)^(1/5)-1</f>
        <v>0.155057648081419</v>
      </c>
      <c r="O17" s="11" t="n">
        <f aca="false">(H17-C17)/C17</f>
        <v>1.05597722960152</v>
      </c>
    </row>
    <row r="18" customFormat="false" ht="15" hidden="false" customHeight="false" outlineLevel="0" collapsed="false">
      <c r="A18" s="115" t="s">
        <v>353</v>
      </c>
      <c r="B18" s="116" t="s">
        <v>501</v>
      </c>
      <c r="C18" s="18" t="s">
        <v>24</v>
      </c>
      <c r="D18" s="18" t="s">
        <v>24</v>
      </c>
      <c r="E18" s="18" t="s">
        <v>24</v>
      </c>
      <c r="F18" s="18" t="s">
        <v>24</v>
      </c>
      <c r="G18" s="18" t="s">
        <v>24</v>
      </c>
      <c r="H18" s="18" t="s">
        <v>24</v>
      </c>
      <c r="I18" s="117" t="n">
        <v>29.9</v>
      </c>
      <c r="J18" s="117" t="n">
        <v>17.8</v>
      </c>
      <c r="K18" s="117" t="n">
        <v>9.07</v>
      </c>
      <c r="L18" s="117" t="n">
        <v>9.16</v>
      </c>
      <c r="M18" s="117" t="n">
        <v>8.38</v>
      </c>
      <c r="N18" s="10" t="n">
        <f aca="false">(M18/I18)^(1/4)-1</f>
        <v>-0.272399133527924</v>
      </c>
      <c r="O18" s="11" t="n">
        <f aca="false">(M18-I18)/I18</f>
        <v>-0.719732441471572</v>
      </c>
    </row>
    <row r="19" customFormat="false" ht="15" hidden="false" customHeight="false" outlineLevel="0" collapsed="false">
      <c r="A19" s="13" t="s">
        <v>362</v>
      </c>
      <c r="B19" s="15" t="s">
        <v>503</v>
      </c>
      <c r="C19" s="16" t="n">
        <v>51.96</v>
      </c>
      <c r="D19" s="16" t="n">
        <v>54.49</v>
      </c>
      <c r="E19" s="16" t="n">
        <v>62.18</v>
      </c>
      <c r="F19" s="16" t="n">
        <v>65.43</v>
      </c>
      <c r="G19" s="16" t="n">
        <v>68.58</v>
      </c>
      <c r="H19" s="16" t="n">
        <v>72.18</v>
      </c>
      <c r="I19" s="16" t="n">
        <v>72.1</v>
      </c>
      <c r="J19" s="16" t="n">
        <v>80.86</v>
      </c>
      <c r="K19" s="16" t="n">
        <v>88.43</v>
      </c>
      <c r="L19" s="16" t="n">
        <v>97.57</v>
      </c>
      <c r="M19" s="16" t="n">
        <v>101.67</v>
      </c>
      <c r="N19" s="10" t="n">
        <f aca="false">(M19/C19)^(1/10)-1</f>
        <v>0.0694300128284102</v>
      </c>
      <c r="O19" s="11" t="n">
        <f aca="false">(M19-C19)/C19</f>
        <v>0.956697459584296</v>
      </c>
    </row>
    <row r="20" customFormat="false" ht="15" hidden="false" customHeight="false" outlineLevel="0" collapsed="false">
      <c r="A20" s="91" t="s">
        <v>391</v>
      </c>
      <c r="B20" s="93" t="s">
        <v>503</v>
      </c>
      <c r="C20" s="94" t="n">
        <v>65.88</v>
      </c>
      <c r="D20" s="94" t="n">
        <v>68.94</v>
      </c>
      <c r="E20" s="94" t="n">
        <v>72.08</v>
      </c>
      <c r="F20" s="94" t="n">
        <v>75.32</v>
      </c>
      <c r="G20" s="94" t="n">
        <v>77.46</v>
      </c>
      <c r="H20" s="94" t="n">
        <v>80.58</v>
      </c>
      <c r="I20" s="94" t="n">
        <v>80.58</v>
      </c>
      <c r="J20" s="94" t="n">
        <v>87.26</v>
      </c>
      <c r="K20" s="94" t="n">
        <v>96.47</v>
      </c>
      <c r="L20" s="94" t="n">
        <v>111.06</v>
      </c>
      <c r="M20" s="94" t="n">
        <v>111.06</v>
      </c>
      <c r="N20" s="10" t="n">
        <f aca="false">(M20/C20)^(1/10)-1</f>
        <v>0.0536112710553003</v>
      </c>
      <c r="O20" s="11" t="n">
        <f aca="false">(M20-C20)/C20</f>
        <v>0.685792349726776</v>
      </c>
    </row>
    <row r="21" customFormat="false" ht="15" hidden="false" customHeight="false" outlineLevel="0" collapsed="false">
      <c r="A21" s="13" t="s">
        <v>412</v>
      </c>
      <c r="B21" s="15" t="s">
        <v>503</v>
      </c>
      <c r="C21" s="16" t="n">
        <v>52.05</v>
      </c>
      <c r="D21" s="16" t="n">
        <v>53.62</v>
      </c>
      <c r="E21" s="16" t="n">
        <v>57.77</v>
      </c>
      <c r="F21" s="16" t="n">
        <v>65.66</v>
      </c>
      <c r="G21" s="16" t="n">
        <v>66.56</v>
      </c>
      <c r="H21" s="16" t="n">
        <v>67.75</v>
      </c>
      <c r="I21" s="16" t="n">
        <v>67.75</v>
      </c>
      <c r="J21" s="16" t="n">
        <v>72.72</v>
      </c>
      <c r="K21" s="16" t="n">
        <v>75.94</v>
      </c>
      <c r="L21" s="16" t="n">
        <v>103.05</v>
      </c>
      <c r="M21" s="16" t="n">
        <v>103.12</v>
      </c>
      <c r="N21" s="10" t="n">
        <f aca="false">(M21/C21)^(1/10)-1</f>
        <v>0.07076019235035</v>
      </c>
      <c r="O21" s="11" t="n">
        <f aca="false">(M21-C21)/C21</f>
        <v>0.981171950048031</v>
      </c>
    </row>
    <row r="22" customFormat="false" ht="15" hidden="false" customHeight="false" outlineLevel="0" collapsed="false">
      <c r="A22" s="91" t="s">
        <v>432</v>
      </c>
      <c r="B22" s="93" t="s">
        <v>503</v>
      </c>
      <c r="C22" s="94" t="n">
        <v>46.27</v>
      </c>
      <c r="D22" s="94" t="n">
        <v>47.6</v>
      </c>
      <c r="E22" s="94" t="n">
        <v>63.2</v>
      </c>
      <c r="F22" s="94" t="n">
        <v>60.57</v>
      </c>
      <c r="G22" s="94" t="n">
        <v>60.57</v>
      </c>
      <c r="H22" s="94" t="n">
        <v>61.9</v>
      </c>
      <c r="I22" s="94" t="n">
        <v>64.3</v>
      </c>
      <c r="J22" s="94" t="n">
        <v>60.07</v>
      </c>
      <c r="K22" s="94" t="n">
        <v>62.78</v>
      </c>
      <c r="L22" s="94" t="n">
        <v>69.73</v>
      </c>
      <c r="M22" s="94" t="n">
        <v>69.29</v>
      </c>
      <c r="N22" s="10" t="n">
        <f aca="false">(M22/C22)^(1/10)-1</f>
        <v>0.0412070647052434</v>
      </c>
      <c r="O22" s="11" t="n">
        <f aca="false">(M22-C22)/C22</f>
        <v>0.497514588286147</v>
      </c>
    </row>
    <row r="23" customFormat="false" ht="15" hidden="false" customHeight="false" outlineLevel="0" collapsed="false">
      <c r="A23" s="13" t="s">
        <v>446</v>
      </c>
      <c r="B23" s="15" t="s">
        <v>504</v>
      </c>
      <c r="C23" s="16" t="n">
        <v>57.8</v>
      </c>
      <c r="D23" s="16" t="n">
        <v>60.4</v>
      </c>
      <c r="E23" s="16" t="n">
        <v>68.38</v>
      </c>
      <c r="F23" s="16" t="n">
        <v>73.75</v>
      </c>
      <c r="G23" s="16" t="n">
        <v>81.75</v>
      </c>
      <c r="H23" s="16" t="n">
        <v>85.91</v>
      </c>
      <c r="I23" s="16" t="n">
        <v>84.85</v>
      </c>
      <c r="J23" s="16" t="n">
        <v>93.51</v>
      </c>
      <c r="K23" s="16" t="n">
        <v>121.57</v>
      </c>
      <c r="L23" s="16" t="n">
        <v>126.85</v>
      </c>
      <c r="M23" s="16" t="n">
        <v>130.85</v>
      </c>
      <c r="N23" s="10" t="n">
        <f aca="false">(M23/C23)^(1/10)-1</f>
        <v>0.0851370423499633</v>
      </c>
      <c r="O23" s="11" t="n">
        <f aca="false">(M23-C23)/C23</f>
        <v>1.26384083044983</v>
      </c>
    </row>
    <row r="24" customFormat="false" ht="15" hidden="false" customHeight="false" outlineLevel="0" collapsed="false">
      <c r="A24" s="118" t="s">
        <v>461</v>
      </c>
      <c r="B24" s="119" t="s">
        <v>504</v>
      </c>
      <c r="C24" s="120" t="n">
        <v>47</v>
      </c>
      <c r="D24" s="120" t="n">
        <v>55.69</v>
      </c>
      <c r="E24" s="120" t="n">
        <v>57.05</v>
      </c>
      <c r="F24" s="120" t="n">
        <v>62.99</v>
      </c>
      <c r="G24" s="120" t="n">
        <v>58.32</v>
      </c>
      <c r="H24" s="120" t="n">
        <v>58.83</v>
      </c>
      <c r="I24" s="120" t="n">
        <v>72.5</v>
      </c>
      <c r="J24" s="120" t="n">
        <v>76</v>
      </c>
      <c r="K24" s="120" t="n">
        <v>80</v>
      </c>
      <c r="L24" s="120" t="n">
        <v>87.5</v>
      </c>
      <c r="M24" s="120" t="n">
        <v>87.5</v>
      </c>
      <c r="N24" s="10" t="n">
        <f aca="false">(M24/C24)^(1/10)-1</f>
        <v>0.0641210137348454</v>
      </c>
      <c r="O24" s="11" t="n">
        <f aca="false">(M24-C24)/C24</f>
        <v>0.861702127659574</v>
      </c>
    </row>
    <row r="25" customFormat="false" ht="15" hidden="false" customHeight="false" outlineLevel="0" collapsed="false">
      <c r="A25" s="13" t="s">
        <v>467</v>
      </c>
      <c r="B25" s="15" t="s">
        <v>504</v>
      </c>
      <c r="C25" s="18" t="s">
        <v>24</v>
      </c>
      <c r="D25" s="18" t="s">
        <v>24</v>
      </c>
      <c r="E25" s="18" t="s">
        <v>24</v>
      </c>
      <c r="F25" s="18" t="s">
        <v>24</v>
      </c>
      <c r="G25" s="18" t="s">
        <v>24</v>
      </c>
      <c r="H25" s="18" t="s">
        <v>24</v>
      </c>
      <c r="I25" s="18" t="s">
        <v>24</v>
      </c>
      <c r="J25" s="16" t="n">
        <v>165.5</v>
      </c>
      <c r="K25" s="16" t="n">
        <v>151.53</v>
      </c>
      <c r="L25" s="16" t="n">
        <v>163.42</v>
      </c>
      <c r="M25" s="16" t="n">
        <v>164.23</v>
      </c>
      <c r="N25" s="10" t="n">
        <f aca="false">(M25/J25)^(1/3)-1</f>
        <v>-0.00256447625402678</v>
      </c>
      <c r="O25" s="11" t="n">
        <f aca="false">(M25-J25)/J25</f>
        <v>-0.00767371601208465</v>
      </c>
    </row>
    <row r="26" customFormat="false" ht="15" hidden="false" customHeight="false" outlineLevel="0" collapsed="false">
      <c r="A26" s="121" t="s">
        <v>476</v>
      </c>
      <c r="B26" s="122" t="s">
        <v>505</v>
      </c>
      <c r="C26" s="18" t="s">
        <v>24</v>
      </c>
      <c r="D26" s="18" t="s">
        <v>24</v>
      </c>
      <c r="E26" s="18" t="s">
        <v>24</v>
      </c>
      <c r="F26" s="18" t="s">
        <v>24</v>
      </c>
      <c r="G26" s="18" t="s">
        <v>24</v>
      </c>
      <c r="H26" s="18" t="s">
        <v>24</v>
      </c>
      <c r="I26" s="18" t="s">
        <v>24</v>
      </c>
      <c r="J26" s="123" t="n">
        <v>306</v>
      </c>
      <c r="K26" s="123" t="n">
        <v>343</v>
      </c>
      <c r="L26" s="123" t="n">
        <v>408</v>
      </c>
      <c r="M26" s="123" t="n">
        <v>418</v>
      </c>
      <c r="N26" s="10" t="n">
        <f aca="false">(M26/J26)^(1/3)-1</f>
        <v>0.109562111696739</v>
      </c>
      <c r="O26" s="11" t="n">
        <f aca="false">(M26-J26)/J26</f>
        <v>0.366013071895425</v>
      </c>
    </row>
    <row r="27" customFormat="false" ht="15" hidden="false" customHeight="false" outlineLevel="0" collapsed="false">
      <c r="A27" s="13" t="s">
        <v>483</v>
      </c>
      <c r="B27" s="15" t="s">
        <v>503</v>
      </c>
      <c r="C27" s="18" t="s">
        <v>24</v>
      </c>
      <c r="D27" s="18" t="s">
        <v>24</v>
      </c>
      <c r="E27" s="18" t="s">
        <v>24</v>
      </c>
      <c r="F27" s="18" t="s">
        <v>24</v>
      </c>
      <c r="G27" s="18" t="s">
        <v>24</v>
      </c>
      <c r="H27" s="18" t="s">
        <v>24</v>
      </c>
      <c r="I27" s="18" t="s">
        <v>24</v>
      </c>
      <c r="J27" s="16" t="n">
        <v>66.1</v>
      </c>
      <c r="K27" s="16" t="n">
        <v>69.7</v>
      </c>
      <c r="L27" s="16" t="n">
        <v>130.4</v>
      </c>
      <c r="M27" s="16" t="n">
        <v>130.4</v>
      </c>
      <c r="N27" s="10" t="n">
        <f aca="false">(M27/J27)^(1/3)-1</f>
        <v>0.254176649210133</v>
      </c>
      <c r="O27" s="11" t="n">
        <f aca="false">(M27-J27)/J27</f>
        <v>0.972768532526475</v>
      </c>
    </row>
    <row r="28" customFormat="false" ht="15" hidden="false" customHeight="false" outlineLevel="0" collapsed="false">
      <c r="A28" s="124" t="s">
        <v>491</v>
      </c>
      <c r="B28" s="125" t="s">
        <v>506</v>
      </c>
      <c r="C28" s="18" t="s">
        <v>24</v>
      </c>
      <c r="D28" s="18" t="s">
        <v>24</v>
      </c>
      <c r="E28" s="126" t="n">
        <v>14.95</v>
      </c>
      <c r="F28" s="126" t="n">
        <v>15.29</v>
      </c>
      <c r="G28" s="126" t="n">
        <v>16.59</v>
      </c>
      <c r="H28" s="126" t="n">
        <v>16.59</v>
      </c>
      <c r="I28" s="126" t="n">
        <v>16.59</v>
      </c>
      <c r="J28" s="126" t="n">
        <v>25.25</v>
      </c>
      <c r="K28" s="126" t="n">
        <v>25.5</v>
      </c>
      <c r="L28" s="126" t="n">
        <v>26.57</v>
      </c>
      <c r="M28" s="126" t="n">
        <v>26.57</v>
      </c>
      <c r="N28" s="10" t="n">
        <f aca="false">(M28/E28)^(1/8)-1</f>
        <v>0.0745306187343577</v>
      </c>
      <c r="O28" s="11" t="n">
        <f aca="false">(M28-E28)/E28</f>
        <v>0.777257525083612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9"/>
  </cols>
  <sheetData>
    <row r="1" customFormat="false" ht="15" hidden="false" customHeight="false" outlineLevel="0" collapsed="false">
      <c r="A1" s="127" t="s">
        <v>507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3" customFormat="false" ht="30" hidden="false" customHeight="true" outlineLevel="0" collapsed="false">
      <c r="A3" s="3" t="s">
        <v>4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498</v>
      </c>
      <c r="N3" s="3" t="s">
        <v>499</v>
      </c>
    </row>
    <row r="4" customFormat="false" ht="15" hidden="false" customHeight="false" outlineLevel="0" collapsed="false">
      <c r="A4" s="128" t="s">
        <v>112</v>
      </c>
      <c r="B4" s="18" t="s">
        <v>24</v>
      </c>
      <c r="C4" s="129" t="n">
        <v>12.27</v>
      </c>
      <c r="D4" s="129" t="n">
        <v>12.48</v>
      </c>
      <c r="E4" s="129" t="n">
        <v>13.14</v>
      </c>
      <c r="F4" s="18" t="s">
        <v>24</v>
      </c>
      <c r="G4" s="129" t="n">
        <v>13.49</v>
      </c>
      <c r="H4" s="129" t="n">
        <v>15.15</v>
      </c>
      <c r="I4" s="129" t="n">
        <v>19.26</v>
      </c>
      <c r="J4" s="129" t="n">
        <v>20.05</v>
      </c>
      <c r="K4" s="129" t="n">
        <v>19.22</v>
      </c>
      <c r="L4" s="129" t="n">
        <v>16</v>
      </c>
      <c r="M4" s="10" t="n">
        <f aca="false">(L4/C4)^(1/9)-1</f>
        <v>0.0299315923432384</v>
      </c>
      <c r="N4" s="11" t="n">
        <f aca="false">(L4-C4)/C4</f>
        <v>0.3039934800326</v>
      </c>
    </row>
    <row r="5" customFormat="false" ht="15" hidden="false" customHeight="false" outlineLevel="0" collapsed="false">
      <c r="A5" s="13" t="s">
        <v>471</v>
      </c>
      <c r="B5" s="18" t="s">
        <v>24</v>
      </c>
      <c r="C5" s="18" t="s">
        <v>24</v>
      </c>
      <c r="D5" s="18" t="s">
        <v>24</v>
      </c>
      <c r="E5" s="18" t="s">
        <v>24</v>
      </c>
      <c r="F5" s="18" t="s">
        <v>24</v>
      </c>
      <c r="G5" s="18" t="s">
        <v>24</v>
      </c>
      <c r="H5" s="18" t="s">
        <v>24</v>
      </c>
      <c r="I5" s="18" t="s">
        <v>24</v>
      </c>
      <c r="J5" s="16" t="n">
        <v>70.11</v>
      </c>
      <c r="K5" s="16" t="n">
        <v>76.66</v>
      </c>
      <c r="L5" s="16" t="n">
        <v>79.9</v>
      </c>
      <c r="M5" s="10" t="n">
        <f aca="false">(L5/J5)^(1/2)-1</f>
        <v>0.0675381548996716</v>
      </c>
      <c r="N5" s="11" t="n">
        <f aca="false">(L5-J5)/J5</f>
        <v>0.139637712166595</v>
      </c>
    </row>
    <row r="6" customFormat="false" ht="15" hidden="false" customHeight="false" outlineLevel="0" collapsed="false">
      <c r="A6" s="128" t="s">
        <v>63</v>
      </c>
      <c r="B6" s="129" t="n">
        <v>9.95</v>
      </c>
      <c r="C6" s="129" t="n">
        <v>9.43</v>
      </c>
      <c r="D6" s="129" t="n">
        <v>8.11</v>
      </c>
      <c r="E6" s="129" t="n">
        <v>7.91</v>
      </c>
      <c r="F6" s="129" t="n">
        <v>8.02</v>
      </c>
      <c r="G6" s="129" t="n">
        <v>7.97</v>
      </c>
      <c r="H6" s="129" t="n">
        <v>7.23</v>
      </c>
      <c r="I6" s="129" t="n">
        <v>8.14</v>
      </c>
      <c r="J6" s="129" t="n">
        <v>8.74</v>
      </c>
      <c r="K6" s="129" t="n">
        <v>8.39</v>
      </c>
      <c r="L6" s="129" t="n">
        <v>8.88</v>
      </c>
      <c r="M6" s="10" t="n">
        <f aca="false">(L6/B6)^(1/10)-1</f>
        <v>-0.0113126249634713</v>
      </c>
      <c r="N6" s="11" t="n">
        <f aca="false">(L6-B6)/B6</f>
        <v>-0.107537688442211</v>
      </c>
    </row>
    <row r="7" customFormat="false" ht="15" hidden="false" customHeight="false" outlineLevel="0" collapsed="false">
      <c r="A7" s="13" t="s">
        <v>49</v>
      </c>
      <c r="B7" s="16" t="n">
        <v>6.6</v>
      </c>
      <c r="C7" s="16" t="n">
        <v>6.74</v>
      </c>
      <c r="D7" s="16" t="n">
        <v>6.72</v>
      </c>
      <c r="E7" s="16" t="n">
        <v>7.16</v>
      </c>
      <c r="F7" s="16" t="n">
        <v>7.66</v>
      </c>
      <c r="G7" s="16" t="n">
        <v>7.82</v>
      </c>
      <c r="H7" s="16" t="n">
        <v>7.34</v>
      </c>
      <c r="I7" s="16" t="n">
        <v>8.52</v>
      </c>
      <c r="J7" s="16" t="n">
        <v>8.85</v>
      </c>
      <c r="K7" s="16" t="n">
        <v>8.89</v>
      </c>
      <c r="L7" s="16" t="n">
        <v>8.53</v>
      </c>
      <c r="M7" s="10" t="n">
        <f aca="false">(L7/B7)^(1/10)-1</f>
        <v>0.025983814463173</v>
      </c>
      <c r="N7" s="11" t="n">
        <f aca="false">(L7-B7)/B7</f>
        <v>0.292424242424242</v>
      </c>
    </row>
    <row r="8" customFormat="false" ht="15" hidden="false" customHeight="false" outlineLevel="0" collapsed="false">
      <c r="A8" s="128" t="s">
        <v>161</v>
      </c>
      <c r="B8" s="18" t="s">
        <v>24</v>
      </c>
      <c r="C8" s="18" t="s">
        <v>24</v>
      </c>
      <c r="D8" s="18" t="s">
        <v>24</v>
      </c>
      <c r="E8" s="18" t="s">
        <v>24</v>
      </c>
      <c r="F8" s="18" t="s">
        <v>24</v>
      </c>
      <c r="G8" s="18" t="s">
        <v>24</v>
      </c>
      <c r="H8" s="18" t="s">
        <v>24</v>
      </c>
      <c r="I8" s="18" t="s">
        <v>24</v>
      </c>
      <c r="J8" s="18" t="s">
        <v>24</v>
      </c>
      <c r="K8" s="129" t="n">
        <v>8.99</v>
      </c>
      <c r="L8" s="129" t="n">
        <v>8.82</v>
      </c>
      <c r="M8" s="10" t="n">
        <f aca="false">(L8/K8)^(1/1)-1</f>
        <v>-0.0189098998887652</v>
      </c>
      <c r="N8" s="11" t="n">
        <f aca="false">(L8-K8)/K8</f>
        <v>-0.0189098998887653</v>
      </c>
    </row>
    <row r="9" customFormat="false" ht="15" hidden="false" customHeight="false" outlineLevel="0" collapsed="false">
      <c r="A9" s="13" t="s">
        <v>475</v>
      </c>
      <c r="B9" s="18" t="s">
        <v>24</v>
      </c>
      <c r="C9" s="18" t="s">
        <v>24</v>
      </c>
      <c r="D9" s="18" t="s">
        <v>24</v>
      </c>
      <c r="E9" s="18" t="s">
        <v>24</v>
      </c>
      <c r="F9" s="18" t="s">
        <v>24</v>
      </c>
      <c r="G9" s="18" t="s">
        <v>24</v>
      </c>
      <c r="H9" s="18" t="s">
        <v>24</v>
      </c>
      <c r="I9" s="18" t="s">
        <v>24</v>
      </c>
      <c r="J9" s="16" t="n">
        <v>171</v>
      </c>
      <c r="K9" s="16" t="n">
        <v>190</v>
      </c>
      <c r="L9" s="16" t="n">
        <v>190</v>
      </c>
      <c r="M9" s="10" t="n">
        <f aca="false">(L9/J9)^(1/2)-1</f>
        <v>0.0540925533894598</v>
      </c>
      <c r="N9" s="11" t="n">
        <f aca="false">(L9-J9)/J9</f>
        <v>0.111111111111111</v>
      </c>
    </row>
    <row r="10" customFormat="false" ht="15" hidden="false" customHeight="false" outlineLevel="0" collapsed="false">
      <c r="A10" s="128" t="s">
        <v>133</v>
      </c>
      <c r="B10" s="129" t="n">
        <v>5.46</v>
      </c>
      <c r="C10" s="129" t="n">
        <v>5.69</v>
      </c>
      <c r="D10" s="129" t="n">
        <v>6.07</v>
      </c>
      <c r="E10" s="129" t="n">
        <v>6.23</v>
      </c>
      <c r="F10" s="18" t="s">
        <v>24</v>
      </c>
      <c r="G10" s="18" t="s">
        <v>24</v>
      </c>
      <c r="H10" s="18" t="s">
        <v>24</v>
      </c>
      <c r="I10" s="129" t="n">
        <v>8.69</v>
      </c>
      <c r="J10" s="129" t="n">
        <v>10.09</v>
      </c>
      <c r="K10" s="129" t="n">
        <v>10.25</v>
      </c>
      <c r="L10" s="129" t="n">
        <v>7.99</v>
      </c>
      <c r="M10" s="10" t="n">
        <f aca="false">(L10/B10)^(1/10)-1</f>
        <v>0.0388083064812832</v>
      </c>
      <c r="N10" s="11" t="n">
        <f aca="false">(L10-B10)/B10</f>
        <v>0.463369963369963</v>
      </c>
    </row>
    <row r="11" customFormat="false" ht="15" hidden="false" customHeight="false" outlineLevel="0" collapsed="false">
      <c r="A11" s="13" t="s">
        <v>77</v>
      </c>
      <c r="B11" s="18" t="s">
        <v>24</v>
      </c>
      <c r="C11" s="18" t="s">
        <v>24</v>
      </c>
      <c r="D11" s="18" t="s">
        <v>24</v>
      </c>
      <c r="E11" s="18" t="s">
        <v>24</v>
      </c>
      <c r="F11" s="16" t="n">
        <v>23.71</v>
      </c>
      <c r="G11" s="16" t="n">
        <v>19.55</v>
      </c>
      <c r="H11" s="16" t="n">
        <v>19.55</v>
      </c>
      <c r="I11" s="16" t="n">
        <v>49.54</v>
      </c>
      <c r="J11" s="16" t="n">
        <v>42.29</v>
      </c>
      <c r="K11" s="16" t="n">
        <v>34.74</v>
      </c>
      <c r="L11" s="16" t="n">
        <v>30.5</v>
      </c>
      <c r="M11" s="10" t="n">
        <f aca="false">(L11/F11)^(1/6)-1</f>
        <v>0.0428648928686917</v>
      </c>
      <c r="N11" s="11" t="n">
        <f aca="false">(L11-F11)/F11</f>
        <v>0.286377056094475</v>
      </c>
    </row>
    <row r="12" customFormat="false" ht="15" hidden="false" customHeight="false" outlineLevel="0" collapsed="false">
      <c r="A12" s="128" t="s">
        <v>139</v>
      </c>
      <c r="B12" s="18" t="s">
        <v>24</v>
      </c>
      <c r="C12" s="18" t="s">
        <v>24</v>
      </c>
      <c r="D12" s="18" t="s">
        <v>24</v>
      </c>
      <c r="E12" s="18" t="s">
        <v>24</v>
      </c>
      <c r="F12" s="18" t="s">
        <v>24</v>
      </c>
      <c r="G12" s="18" t="s">
        <v>24</v>
      </c>
      <c r="H12" s="129" t="n">
        <v>12.49</v>
      </c>
      <c r="I12" s="129" t="n">
        <v>12.49</v>
      </c>
      <c r="J12" s="129" t="n">
        <v>12.49</v>
      </c>
      <c r="K12" s="129" t="n">
        <v>155</v>
      </c>
      <c r="L12" s="129" t="n">
        <v>155</v>
      </c>
      <c r="M12" s="10" t="n">
        <f aca="false">(L12/H12)^(1/4)-1</f>
        <v>0.876905102388439</v>
      </c>
      <c r="N12" s="11" t="n">
        <f aca="false">(L12-H12)/H12</f>
        <v>11.4099279423539</v>
      </c>
    </row>
    <row r="13" customFormat="false" ht="15" hidden="false" customHeight="false" outlineLevel="0" collapsed="false">
      <c r="A13" s="13" t="s">
        <v>22</v>
      </c>
      <c r="B13" s="16" t="n">
        <v>2.52</v>
      </c>
      <c r="C13" s="16" t="n">
        <v>2.57</v>
      </c>
      <c r="D13" s="16" t="n">
        <v>2.66</v>
      </c>
      <c r="E13" s="16" t="n">
        <v>3.15</v>
      </c>
      <c r="F13" s="16" t="n">
        <v>3.33</v>
      </c>
      <c r="G13" s="16" t="n">
        <v>3.49</v>
      </c>
      <c r="H13" s="16" t="n">
        <v>3.52</v>
      </c>
      <c r="I13" s="16" t="n">
        <v>4.2</v>
      </c>
      <c r="J13" s="16" t="n">
        <v>4.24</v>
      </c>
      <c r="K13" s="16" t="n">
        <v>4.25</v>
      </c>
      <c r="L13" s="16" t="n">
        <v>3.9</v>
      </c>
      <c r="M13" s="10" t="n">
        <f aca="false">(L13/B13)^(1/10)-1</f>
        <v>0.0446394115597193</v>
      </c>
      <c r="N13" s="11" t="n">
        <f aca="false">(L13-B13)/B13</f>
        <v>0.547619047619048</v>
      </c>
    </row>
    <row r="14" customFormat="false" ht="15" hidden="false" customHeight="false" outlineLevel="0" collapsed="false">
      <c r="A14" s="128" t="s">
        <v>364</v>
      </c>
      <c r="B14" s="129" t="n">
        <v>24.9</v>
      </c>
      <c r="C14" s="129" t="n">
        <v>25.8</v>
      </c>
      <c r="D14" s="18" t="s">
        <v>24</v>
      </c>
      <c r="E14" s="18" t="s">
        <v>24</v>
      </c>
      <c r="F14" s="18" t="s">
        <v>24</v>
      </c>
      <c r="G14" s="18" t="s">
        <v>24</v>
      </c>
      <c r="H14" s="18" t="s">
        <v>24</v>
      </c>
      <c r="I14" s="18" t="s">
        <v>24</v>
      </c>
      <c r="J14" s="18" t="s">
        <v>24</v>
      </c>
      <c r="K14" s="18" t="s">
        <v>24</v>
      </c>
      <c r="L14" s="18" t="s">
        <v>24</v>
      </c>
      <c r="M14" s="10" t="n">
        <f aca="false">(C14/B14)^(1/1)-1</f>
        <v>0.036144578313253</v>
      </c>
      <c r="N14" s="11" t="n">
        <f aca="false">(C14-B14)/B14</f>
        <v>0.0361445783132531</v>
      </c>
    </row>
    <row r="15" customFormat="false" ht="15" hidden="false" customHeight="false" outlineLevel="0" collapsed="false">
      <c r="A15" s="13" t="s">
        <v>377</v>
      </c>
      <c r="B15" s="16" t="n">
        <v>36.12</v>
      </c>
      <c r="C15" s="16" t="n">
        <v>38</v>
      </c>
      <c r="D15" s="16" t="n">
        <v>41.42</v>
      </c>
      <c r="E15" s="16" t="n">
        <v>42.28</v>
      </c>
      <c r="F15" s="16" t="n">
        <v>44.84</v>
      </c>
      <c r="G15" s="16" t="n">
        <v>47.01</v>
      </c>
      <c r="H15" s="16" t="n">
        <v>48.88</v>
      </c>
      <c r="I15" s="16" t="n">
        <v>51.48</v>
      </c>
      <c r="J15" s="16" t="n">
        <v>51.81</v>
      </c>
      <c r="K15" s="16" t="n">
        <v>54.62</v>
      </c>
      <c r="L15" s="16" t="n">
        <v>55.12</v>
      </c>
      <c r="M15" s="10" t="n">
        <f aca="false">(L15/B15)^(1/10)-1</f>
        <v>0.0431725408602246</v>
      </c>
      <c r="N15" s="11" t="n">
        <f aca="false">(L15-B15)/B15</f>
        <v>0.526024363233666</v>
      </c>
    </row>
    <row r="16" customFormat="false" ht="15" hidden="false" customHeight="false" outlineLevel="0" collapsed="false">
      <c r="A16" s="128" t="s">
        <v>393</v>
      </c>
      <c r="B16" s="18" t="s">
        <v>24</v>
      </c>
      <c r="C16" s="18" t="s">
        <v>24</v>
      </c>
      <c r="D16" s="18" t="s">
        <v>24</v>
      </c>
      <c r="E16" s="18" t="s">
        <v>24</v>
      </c>
      <c r="F16" s="18" t="s">
        <v>24</v>
      </c>
      <c r="G16" s="18" t="s">
        <v>24</v>
      </c>
      <c r="H16" s="18" t="s">
        <v>24</v>
      </c>
      <c r="I16" s="129" t="n">
        <v>42.17</v>
      </c>
      <c r="J16" s="129" t="n">
        <v>42.17</v>
      </c>
      <c r="K16" s="129" t="n">
        <v>45.5</v>
      </c>
      <c r="L16" s="129" t="n">
        <v>45.5</v>
      </c>
      <c r="M16" s="10" t="n">
        <f aca="false">(L16/I16)^(1/3)-1</f>
        <v>0.0256580631314454</v>
      </c>
      <c r="N16" s="11" t="n">
        <f aca="false">(L16-I16)/I16</f>
        <v>0.0789660896371828</v>
      </c>
    </row>
    <row r="17" customFormat="false" ht="15" hidden="false" customHeight="false" outlineLevel="0" collapsed="false">
      <c r="A17" s="13" t="s">
        <v>232</v>
      </c>
      <c r="B17" s="16" t="n">
        <v>38.21</v>
      </c>
      <c r="C17" s="16" t="n">
        <v>40.8</v>
      </c>
      <c r="D17" s="16" t="n">
        <v>43.35</v>
      </c>
      <c r="E17" s="16" t="n">
        <v>43.13</v>
      </c>
      <c r="F17" s="16" t="n">
        <v>45.74</v>
      </c>
      <c r="G17" s="16" t="n">
        <v>49.41</v>
      </c>
      <c r="H17" s="16" t="n">
        <v>47.69</v>
      </c>
      <c r="I17" s="16" t="n">
        <v>50.99</v>
      </c>
      <c r="J17" s="16" t="n">
        <v>57.21</v>
      </c>
      <c r="K17" s="16" t="n">
        <v>62.51</v>
      </c>
      <c r="L17" s="16" t="n">
        <v>72.06</v>
      </c>
      <c r="M17" s="10" t="n">
        <f aca="false">(L17/B17)^(1/10)-1</f>
        <v>0.0654957506128902</v>
      </c>
      <c r="N17" s="11" t="n">
        <f aca="false">(L17-B17)/B17</f>
        <v>0.885893745092908</v>
      </c>
    </row>
    <row r="18" customFormat="false" ht="15" hidden="false" customHeight="false" outlineLevel="0" collapsed="false">
      <c r="A18" s="128" t="s">
        <v>229</v>
      </c>
      <c r="B18" s="129" t="n">
        <v>71.9</v>
      </c>
      <c r="C18" s="129" t="n">
        <v>73.9</v>
      </c>
      <c r="D18" s="129" t="n">
        <v>78.9</v>
      </c>
      <c r="E18" s="129" t="n">
        <v>83.9</v>
      </c>
      <c r="F18" s="129" t="n">
        <v>83.9</v>
      </c>
      <c r="G18" s="129" t="n">
        <v>85.9</v>
      </c>
      <c r="H18" s="129" t="n">
        <v>90.75</v>
      </c>
      <c r="I18" s="129" t="n">
        <v>134.66</v>
      </c>
      <c r="J18" s="129" t="n">
        <v>165.35</v>
      </c>
      <c r="K18" s="129" t="n">
        <v>185</v>
      </c>
      <c r="L18" s="129" t="n">
        <v>186</v>
      </c>
      <c r="M18" s="10" t="n">
        <f aca="false">(L18/B18)^(1/10)-1</f>
        <v>0.0997105852835305</v>
      </c>
      <c r="N18" s="11" t="n">
        <f aca="false">(L18-B18)/B18</f>
        <v>1.58692628650904</v>
      </c>
    </row>
    <row r="19" customFormat="false" ht="15" hidden="false" customHeight="false" outlineLevel="0" collapsed="false">
      <c r="A19" s="13" t="s">
        <v>374</v>
      </c>
      <c r="B19" s="16" t="n">
        <v>113</v>
      </c>
      <c r="C19" s="16" t="n">
        <v>118</v>
      </c>
      <c r="D19" s="16" t="n">
        <v>122</v>
      </c>
      <c r="E19" s="16" t="n">
        <v>138.33</v>
      </c>
      <c r="F19" s="16" t="n">
        <v>142.67</v>
      </c>
      <c r="G19" s="16" t="n">
        <v>147.67</v>
      </c>
      <c r="H19" s="16" t="n">
        <v>147.67</v>
      </c>
      <c r="I19" s="16" t="n">
        <v>162.67</v>
      </c>
      <c r="J19" s="16" t="n">
        <v>178.67</v>
      </c>
      <c r="K19" s="16" t="n">
        <v>195</v>
      </c>
      <c r="L19" s="16" t="n">
        <v>195</v>
      </c>
      <c r="M19" s="10" t="n">
        <f aca="false">(L19/B19)^(1/10)-1</f>
        <v>0.0560770788812404</v>
      </c>
      <c r="N19" s="11" t="n">
        <f aca="false">(L19-B19)/B19</f>
        <v>0.725663716814159</v>
      </c>
    </row>
    <row r="20" customFormat="false" ht="15" hidden="false" customHeight="false" outlineLevel="0" collapsed="false">
      <c r="A20" s="128" t="s">
        <v>224</v>
      </c>
      <c r="B20" s="129" t="n">
        <v>34.47</v>
      </c>
      <c r="C20" s="129" t="n">
        <v>36.04</v>
      </c>
      <c r="D20" s="129" t="n">
        <v>37.34</v>
      </c>
      <c r="E20" s="129" t="n">
        <v>42.34</v>
      </c>
      <c r="F20" s="129" t="n">
        <v>44.14</v>
      </c>
      <c r="G20" s="129" t="n">
        <v>41.73</v>
      </c>
      <c r="H20" s="129" t="n">
        <v>44.26</v>
      </c>
      <c r="I20" s="129" t="n">
        <v>43.43</v>
      </c>
      <c r="J20" s="129" t="n">
        <v>45.12</v>
      </c>
      <c r="K20" s="129" t="n">
        <v>47.03</v>
      </c>
      <c r="L20" s="129" t="n">
        <v>37.83</v>
      </c>
      <c r="M20" s="10" t="n">
        <f aca="false">(L20/B20)^(1/10)-1</f>
        <v>0.00934469738493915</v>
      </c>
      <c r="N20" s="11" t="n">
        <f aca="false">(L20-B20)/B20</f>
        <v>0.0974760661444735</v>
      </c>
    </row>
    <row r="21" customFormat="false" ht="15" hidden="false" customHeight="false" outlineLevel="0" collapsed="false">
      <c r="A21" s="13" t="s">
        <v>32</v>
      </c>
      <c r="B21" s="16" t="n">
        <v>4.88</v>
      </c>
      <c r="C21" s="16" t="n">
        <v>4.97</v>
      </c>
      <c r="D21" s="16" t="n">
        <v>5.08</v>
      </c>
      <c r="E21" s="16" t="n">
        <v>5.23</v>
      </c>
      <c r="F21" s="16" t="n">
        <v>5.23</v>
      </c>
      <c r="G21" s="16" t="n">
        <v>5.3</v>
      </c>
      <c r="H21" s="16" t="n">
        <v>5.24</v>
      </c>
      <c r="I21" s="16" t="n">
        <v>5.68</v>
      </c>
      <c r="J21" s="16" t="n">
        <v>5.67</v>
      </c>
      <c r="K21" s="16" t="n">
        <v>5.57</v>
      </c>
      <c r="L21" s="16" t="n">
        <v>5.36</v>
      </c>
      <c r="M21" s="10" t="n">
        <f aca="false">(L21/B21)^(1/10)-1</f>
        <v>0.00942602327080566</v>
      </c>
      <c r="N21" s="11" t="n">
        <f aca="false">(L21-B21)/B21</f>
        <v>0.098360655737705</v>
      </c>
    </row>
    <row r="22" customFormat="false" ht="15" hidden="false" customHeight="false" outlineLevel="0" collapsed="false">
      <c r="A22" s="128" t="s">
        <v>425</v>
      </c>
      <c r="B22" s="129" t="n">
        <v>72</v>
      </c>
      <c r="C22" s="129" t="n">
        <v>74.76</v>
      </c>
      <c r="D22" s="129" t="n">
        <v>79.99</v>
      </c>
      <c r="E22" s="129" t="n">
        <v>83</v>
      </c>
      <c r="F22" s="129" t="n">
        <v>83</v>
      </c>
      <c r="G22" s="129" t="n">
        <v>84</v>
      </c>
      <c r="H22" s="129" t="n">
        <v>84</v>
      </c>
      <c r="I22" s="129" t="n">
        <v>88</v>
      </c>
      <c r="J22" s="129" t="n">
        <v>90.98</v>
      </c>
      <c r="K22" s="129" t="n">
        <v>97</v>
      </c>
      <c r="L22" s="129" t="n">
        <v>97</v>
      </c>
      <c r="M22" s="10" t="n">
        <f aca="false">(L22/B22)^(1/10)-1</f>
        <v>0.0302530853065992</v>
      </c>
      <c r="N22" s="11" t="n">
        <f aca="false">(L22-B22)/B22</f>
        <v>0.347222222222222</v>
      </c>
    </row>
    <row r="23" customFormat="false" ht="15" hidden="false" customHeight="false" outlineLevel="0" collapsed="false">
      <c r="A23" s="13" t="s">
        <v>115</v>
      </c>
      <c r="B23" s="16" t="n">
        <v>15.52</v>
      </c>
      <c r="C23" s="16" t="n">
        <v>15.71</v>
      </c>
      <c r="D23" s="16" t="n">
        <v>15.95</v>
      </c>
      <c r="E23" s="16" t="n">
        <v>23.29</v>
      </c>
      <c r="F23" s="16" t="n">
        <v>24.14</v>
      </c>
      <c r="G23" s="16" t="n">
        <v>24.34</v>
      </c>
      <c r="H23" s="16" t="n">
        <v>17.96</v>
      </c>
      <c r="I23" s="16" t="n">
        <v>20.44</v>
      </c>
      <c r="J23" s="16" t="n">
        <v>20.68</v>
      </c>
      <c r="K23" s="16" t="n">
        <v>20.9</v>
      </c>
      <c r="L23" s="16" t="n">
        <v>13.66</v>
      </c>
      <c r="M23" s="10" t="n">
        <f aca="false">(L23/B23)^(1/10)-1</f>
        <v>-0.0126846292943165</v>
      </c>
      <c r="N23" s="11" t="n">
        <f aca="false">(L23-B23)/B23</f>
        <v>-0.119845360824742</v>
      </c>
    </row>
    <row r="24" customFormat="false" ht="15" hidden="false" customHeight="false" outlineLevel="0" collapsed="false">
      <c r="A24" s="128" t="s">
        <v>459</v>
      </c>
      <c r="B24" s="18" t="s">
        <v>24</v>
      </c>
      <c r="C24" s="18" t="s">
        <v>24</v>
      </c>
      <c r="D24" s="18" t="s">
        <v>24</v>
      </c>
      <c r="E24" s="18" t="s">
        <v>24</v>
      </c>
      <c r="F24" s="18" t="s">
        <v>24</v>
      </c>
      <c r="G24" s="129" t="n">
        <v>75.53</v>
      </c>
      <c r="H24" s="129" t="n">
        <v>75.53</v>
      </c>
      <c r="I24" s="129" t="n">
        <v>83.97</v>
      </c>
      <c r="J24" s="129" t="n">
        <v>93.97</v>
      </c>
      <c r="K24" s="129" t="n">
        <v>101</v>
      </c>
      <c r="L24" s="129" t="n">
        <v>101</v>
      </c>
      <c r="M24" s="10" t="n">
        <f aca="false">(L24/G24)^(1/5)-1</f>
        <v>0.0598401742043595</v>
      </c>
      <c r="N24" s="11" t="n">
        <f aca="false">(L24-G24)/G24</f>
        <v>0.337216999867602</v>
      </c>
    </row>
    <row r="25" customFormat="false" ht="15" hidden="false" customHeight="false" outlineLevel="0" collapsed="false">
      <c r="A25" s="13" t="s">
        <v>380</v>
      </c>
      <c r="B25" s="16" t="n">
        <v>56.71</v>
      </c>
      <c r="C25" s="16" t="n">
        <v>59.09</v>
      </c>
      <c r="D25" s="16" t="n">
        <v>64.11</v>
      </c>
      <c r="E25" s="16" t="n">
        <v>69.44</v>
      </c>
      <c r="F25" s="16" t="n">
        <v>73.17</v>
      </c>
      <c r="G25" s="16" t="n">
        <v>77.12</v>
      </c>
      <c r="H25" s="16" t="n">
        <v>76.73</v>
      </c>
      <c r="I25" s="16" t="n">
        <v>86.92</v>
      </c>
      <c r="J25" s="16" t="n">
        <v>92.83</v>
      </c>
      <c r="K25" s="16" t="n">
        <v>99.04</v>
      </c>
      <c r="L25" s="16" t="n">
        <v>101.77</v>
      </c>
      <c r="M25" s="10" t="n">
        <f aca="false">(L25/B25)^(1/10)-1</f>
        <v>0.0602200493627179</v>
      </c>
      <c r="N25" s="11" t="n">
        <f aca="false">(L25-B25)/B25</f>
        <v>0.794568859107741</v>
      </c>
    </row>
    <row r="26" customFormat="false" ht="15" hidden="false" customHeight="false" outlineLevel="0" collapsed="false">
      <c r="A26" s="128" t="s">
        <v>367</v>
      </c>
      <c r="B26" s="129" t="n">
        <v>35.81</v>
      </c>
      <c r="C26" s="129" t="n">
        <v>37.3</v>
      </c>
      <c r="D26" s="129" t="n">
        <v>39.7</v>
      </c>
      <c r="E26" s="129" t="n">
        <v>40.9</v>
      </c>
      <c r="F26" s="129" t="n">
        <v>42.51</v>
      </c>
      <c r="G26" s="129" t="n">
        <v>44.05</v>
      </c>
      <c r="H26" s="129" t="n">
        <v>43.23</v>
      </c>
      <c r="I26" s="129" t="n">
        <v>47.47</v>
      </c>
      <c r="J26" s="129" t="n">
        <v>51.19</v>
      </c>
      <c r="K26" s="129" t="n">
        <v>54.33</v>
      </c>
      <c r="L26" s="129" t="n">
        <v>56.33</v>
      </c>
      <c r="M26" s="10" t="n">
        <f aca="false">(L26/B26)^(1/10)-1</f>
        <v>0.0463417225515561</v>
      </c>
      <c r="N26" s="11" t="n">
        <f aca="false">(L26-B26)/B26</f>
        <v>0.573024294889695</v>
      </c>
    </row>
    <row r="27" customFormat="false" ht="15" hidden="false" customHeight="false" outlineLevel="0" collapsed="false">
      <c r="A27" s="13" t="s">
        <v>235</v>
      </c>
      <c r="B27" s="18" t="s">
        <v>24</v>
      </c>
      <c r="C27" s="18" t="s">
        <v>24</v>
      </c>
      <c r="D27" s="18" t="s">
        <v>24</v>
      </c>
      <c r="E27" s="18" t="s">
        <v>24</v>
      </c>
      <c r="F27" s="18" t="s">
        <v>24</v>
      </c>
      <c r="G27" s="18" t="s">
        <v>24</v>
      </c>
      <c r="H27" s="16" t="n">
        <v>89.9</v>
      </c>
      <c r="I27" s="18" t="s">
        <v>24</v>
      </c>
      <c r="J27" s="18" t="s">
        <v>24</v>
      </c>
      <c r="K27" s="18" t="s">
        <v>24</v>
      </c>
      <c r="L27" s="18" t="s">
        <v>24</v>
      </c>
    </row>
    <row r="28" customFormat="false" ht="15" hidden="false" customHeight="false" outlineLevel="0" collapsed="false">
      <c r="A28" s="128" t="s">
        <v>52</v>
      </c>
      <c r="B28" s="129" t="n">
        <v>7.04</v>
      </c>
      <c r="C28" s="129" t="n">
        <v>9.47</v>
      </c>
      <c r="D28" s="129" t="n">
        <v>9.59</v>
      </c>
      <c r="E28" s="129" t="n">
        <v>10.66</v>
      </c>
      <c r="F28" s="129" t="n">
        <v>9.32</v>
      </c>
      <c r="G28" s="129" t="n">
        <v>9.41</v>
      </c>
      <c r="H28" s="129" t="n">
        <v>9.87</v>
      </c>
      <c r="I28" s="129" t="n">
        <v>10.61</v>
      </c>
      <c r="J28" s="129" t="n">
        <v>11.97</v>
      </c>
      <c r="K28" s="129" t="n">
        <v>12.64</v>
      </c>
      <c r="L28" s="129" t="n">
        <v>14.32</v>
      </c>
      <c r="M28" s="10" t="n">
        <f aca="false">(L28/B28)^(1/10)-1</f>
        <v>0.0735864855019475</v>
      </c>
      <c r="N28" s="11" t="n">
        <f aca="false">(L28-B28)/B28</f>
        <v>1.03409090909091</v>
      </c>
    </row>
    <row r="29" customFormat="false" ht="15" hidden="false" customHeight="false" outlineLevel="0" collapsed="false">
      <c r="A29" s="13" t="s">
        <v>142</v>
      </c>
      <c r="B29" s="18" t="s">
        <v>24</v>
      </c>
      <c r="C29" s="16" t="n">
        <v>13.2</v>
      </c>
      <c r="D29" s="16" t="n">
        <v>13.99</v>
      </c>
      <c r="E29" s="16" t="n">
        <v>14.47</v>
      </c>
      <c r="F29" s="18" t="s">
        <v>24</v>
      </c>
      <c r="G29" s="18" t="s">
        <v>24</v>
      </c>
      <c r="H29" s="18" t="s">
        <v>24</v>
      </c>
      <c r="I29" s="18" t="s">
        <v>24</v>
      </c>
      <c r="J29" s="18" t="s">
        <v>24</v>
      </c>
      <c r="K29" s="18" t="s">
        <v>24</v>
      </c>
      <c r="L29" s="18" t="s">
        <v>24</v>
      </c>
      <c r="M29" s="10" t="n">
        <f aca="false">(E29/C29)^(1/2)-1</f>
        <v>0.0470014905491403</v>
      </c>
      <c r="N29" s="11" t="n">
        <f aca="false">(E29-C29)/C29</f>
        <v>0.0962121212121213</v>
      </c>
    </row>
    <row r="30" customFormat="false" ht="15" hidden="false" customHeight="false" outlineLevel="0" collapsed="false">
      <c r="A30" s="128" t="s">
        <v>268</v>
      </c>
      <c r="B30" s="18" t="s">
        <v>24</v>
      </c>
      <c r="C30" s="18" t="s">
        <v>24</v>
      </c>
      <c r="D30" s="18" t="s">
        <v>24</v>
      </c>
      <c r="E30" s="18" t="s">
        <v>24</v>
      </c>
      <c r="F30" s="18" t="s">
        <v>24</v>
      </c>
      <c r="G30" s="18" t="s">
        <v>24</v>
      </c>
      <c r="H30" s="18" t="s">
        <v>24</v>
      </c>
      <c r="I30" s="18" t="s">
        <v>24</v>
      </c>
      <c r="J30" s="129" t="n">
        <v>7.98</v>
      </c>
      <c r="K30" s="129" t="n">
        <v>7.98</v>
      </c>
      <c r="L30" s="129" t="n">
        <v>7.98</v>
      </c>
      <c r="M30" s="10" t="n">
        <f aca="false">(L30/J30)^(1/2)-1</f>
        <v>0</v>
      </c>
      <c r="N30" s="11" t="n">
        <f aca="false">(L30-J30)/J30</f>
        <v>0</v>
      </c>
    </row>
    <row r="31" customFormat="false" ht="15" hidden="false" customHeight="false" outlineLevel="0" collapsed="false">
      <c r="A31" s="13" t="s">
        <v>91</v>
      </c>
      <c r="B31" s="18" t="s">
        <v>24</v>
      </c>
      <c r="C31" s="16" t="n">
        <v>5.44</v>
      </c>
      <c r="D31" s="16" t="n">
        <v>5.62</v>
      </c>
      <c r="E31" s="16" t="n">
        <v>5.87</v>
      </c>
      <c r="F31" s="16" t="n">
        <v>5.87</v>
      </c>
      <c r="G31" s="16" t="n">
        <v>5.87</v>
      </c>
      <c r="H31" s="16" t="n">
        <v>5.49</v>
      </c>
      <c r="I31" s="16" t="n">
        <v>5.93</v>
      </c>
      <c r="J31" s="16" t="n">
        <v>6.06</v>
      </c>
      <c r="K31" s="16" t="n">
        <v>5.7</v>
      </c>
      <c r="L31" s="16" t="n">
        <v>5.7</v>
      </c>
      <c r="M31" s="10" t="n">
        <f aca="false">(L31/C31)^(1/9)-1</f>
        <v>0.00520093525939558</v>
      </c>
      <c r="N31" s="11" t="n">
        <f aca="false">(L31-C31)/C31</f>
        <v>0.0477941176470588</v>
      </c>
    </row>
    <row r="32" customFormat="false" ht="15" hidden="false" customHeight="false" outlineLevel="0" collapsed="false">
      <c r="A32" s="128" t="s">
        <v>60</v>
      </c>
      <c r="B32" s="129" t="n">
        <v>9</v>
      </c>
      <c r="C32" s="129" t="n">
        <v>11.11</v>
      </c>
      <c r="D32" s="129" t="n">
        <v>15.12</v>
      </c>
      <c r="E32" s="129" t="n">
        <v>17.8</v>
      </c>
      <c r="F32" s="129" t="n">
        <v>17.96</v>
      </c>
      <c r="G32" s="129" t="n">
        <v>18.48</v>
      </c>
      <c r="H32" s="129" t="n">
        <v>14.69</v>
      </c>
      <c r="I32" s="129" t="n">
        <v>13.9</v>
      </c>
      <c r="J32" s="129" t="n">
        <v>12.6</v>
      </c>
      <c r="K32" s="129" t="n">
        <v>14.15</v>
      </c>
      <c r="L32" s="129" t="n">
        <v>13.93</v>
      </c>
      <c r="M32" s="10" t="n">
        <f aca="false">(L32/B32)^(1/10)-1</f>
        <v>0.0446501253156226</v>
      </c>
      <c r="N32" s="11" t="n">
        <f aca="false">(L32-B32)/B32</f>
        <v>0.547777777777778</v>
      </c>
    </row>
    <row r="33" customFormat="false" ht="15" hidden="false" customHeight="false" outlineLevel="0" collapsed="false">
      <c r="A33" s="13" t="s">
        <v>74</v>
      </c>
      <c r="B33" s="16" t="n">
        <v>6.87</v>
      </c>
      <c r="C33" s="16" t="n">
        <v>7.05</v>
      </c>
      <c r="D33" s="16" t="n">
        <v>7.15</v>
      </c>
      <c r="E33" s="16" t="n">
        <v>7.55</v>
      </c>
      <c r="F33" s="16" t="n">
        <v>8.09</v>
      </c>
      <c r="G33" s="16" t="n">
        <v>9.8</v>
      </c>
      <c r="H33" s="16" t="n">
        <v>31.85</v>
      </c>
      <c r="I33" s="16" t="n">
        <v>34.2</v>
      </c>
      <c r="J33" s="16" t="n">
        <v>27.05</v>
      </c>
      <c r="K33" s="16" t="n">
        <v>30.3</v>
      </c>
      <c r="L33" s="16" t="n">
        <v>38.82</v>
      </c>
      <c r="M33" s="10" t="n">
        <f aca="false">(L33/B33)^(1/10)-1</f>
        <v>0.189076727982137</v>
      </c>
      <c r="N33" s="11" t="n">
        <f aca="false">(L33-B33)/B33</f>
        <v>4.65065502183406</v>
      </c>
    </row>
    <row r="34" customFormat="false" ht="15" hidden="false" customHeight="false" outlineLevel="0" collapsed="false">
      <c r="A34" s="128" t="s">
        <v>389</v>
      </c>
      <c r="B34" s="18" t="s">
        <v>24</v>
      </c>
      <c r="C34" s="18" t="s">
        <v>24</v>
      </c>
      <c r="D34" s="18" t="s">
        <v>24</v>
      </c>
      <c r="E34" s="18" t="s">
        <v>24</v>
      </c>
      <c r="F34" s="18" t="s">
        <v>24</v>
      </c>
      <c r="G34" s="18" t="s">
        <v>24</v>
      </c>
      <c r="H34" s="18" t="s">
        <v>24</v>
      </c>
      <c r="I34" s="129" t="n">
        <v>143</v>
      </c>
      <c r="J34" s="129" t="n">
        <v>159</v>
      </c>
      <c r="K34" s="129" t="n">
        <v>158.5</v>
      </c>
      <c r="L34" s="129" t="n">
        <v>164.5</v>
      </c>
      <c r="M34" s="10" t="n">
        <f aca="false">(L34/I34)^(1/3)-1</f>
        <v>0.0477957235770328</v>
      </c>
      <c r="N34" s="11" t="n">
        <f aca="false">(L34-I34)/I34</f>
        <v>0.15034965034965</v>
      </c>
    </row>
    <row r="35" customFormat="false" ht="15" hidden="false" customHeight="false" outlineLevel="0" collapsed="false">
      <c r="A35" s="13" t="s">
        <v>430</v>
      </c>
      <c r="B35" s="18" t="s">
        <v>24</v>
      </c>
      <c r="C35" s="18" t="s">
        <v>24</v>
      </c>
      <c r="D35" s="18" t="s">
        <v>24</v>
      </c>
      <c r="E35" s="18" t="s">
        <v>24</v>
      </c>
      <c r="F35" s="18" t="s">
        <v>24</v>
      </c>
      <c r="G35" s="18" t="s">
        <v>24</v>
      </c>
      <c r="H35" s="18" t="s">
        <v>24</v>
      </c>
      <c r="I35" s="18" t="s">
        <v>24</v>
      </c>
      <c r="J35" s="18" t="s">
        <v>24</v>
      </c>
      <c r="K35" s="16" t="n">
        <v>196</v>
      </c>
      <c r="L35" s="16" t="n">
        <v>196</v>
      </c>
      <c r="M35" s="10" t="n">
        <f aca="false">(L35/K35)^(1/1)-1</f>
        <v>0</v>
      </c>
      <c r="N35" s="11" t="n">
        <f aca="false">(L35-K35)/K35</f>
        <v>0</v>
      </c>
    </row>
    <row r="36" customFormat="false" ht="15" hidden="false" customHeight="false" outlineLevel="0" collapsed="false">
      <c r="A36" s="128" t="s">
        <v>238</v>
      </c>
      <c r="B36" s="18" t="s">
        <v>24</v>
      </c>
      <c r="C36" s="18" t="s">
        <v>24</v>
      </c>
      <c r="D36" s="129" t="n">
        <v>14.95</v>
      </c>
      <c r="E36" s="129" t="n">
        <v>15.29</v>
      </c>
      <c r="F36" s="129" t="n">
        <v>16.59</v>
      </c>
      <c r="G36" s="129" t="n">
        <v>16.59</v>
      </c>
      <c r="H36" s="129" t="n">
        <v>16.59</v>
      </c>
      <c r="I36" s="129" t="n">
        <v>25.75</v>
      </c>
      <c r="J36" s="129" t="n">
        <v>26.55</v>
      </c>
      <c r="K36" s="129" t="n">
        <v>19.14</v>
      </c>
      <c r="L36" s="129" t="n">
        <v>19.14</v>
      </c>
      <c r="M36" s="10" t="n">
        <f aca="false">(L36/D36)^(1/8)-1</f>
        <v>0.0313654828569441</v>
      </c>
      <c r="N36" s="11" t="n">
        <f aca="false">(L36-D36)/D36</f>
        <v>0.280267558528428</v>
      </c>
    </row>
    <row r="37" customFormat="false" ht="15" hidden="false" customHeight="false" outlineLevel="0" collapsed="false">
      <c r="A37" s="13" t="s">
        <v>43</v>
      </c>
      <c r="B37" s="16" t="n">
        <v>10.7</v>
      </c>
      <c r="C37" s="16" t="n">
        <v>10.88</v>
      </c>
      <c r="D37" s="16" t="n">
        <v>6.27</v>
      </c>
      <c r="E37" s="16" t="n">
        <v>6.47</v>
      </c>
      <c r="F37" s="16" t="n">
        <v>6.78</v>
      </c>
      <c r="G37" s="16" t="n">
        <v>6.64</v>
      </c>
      <c r="H37" s="16" t="n">
        <v>7.37</v>
      </c>
      <c r="I37" s="16" t="n">
        <v>7.79</v>
      </c>
      <c r="J37" s="16" t="n">
        <v>8.02</v>
      </c>
      <c r="K37" s="16" t="n">
        <v>7.98</v>
      </c>
      <c r="L37" s="16" t="n">
        <v>6.09</v>
      </c>
      <c r="M37" s="10" t="n">
        <f aca="false">(L37/B37)^(1/10)-1</f>
        <v>-0.0548007866945677</v>
      </c>
      <c r="N37" s="11" t="n">
        <f aca="false">(L37-B37)/B37</f>
        <v>-0.430841121495327</v>
      </c>
    </row>
    <row r="38" customFormat="false" ht="15" hidden="false" customHeight="false" outlineLevel="0" collapsed="false">
      <c r="A38" s="128" t="s">
        <v>55</v>
      </c>
      <c r="B38" s="18" t="s">
        <v>24</v>
      </c>
      <c r="C38" s="18" t="s">
        <v>24</v>
      </c>
      <c r="D38" s="18" t="s">
        <v>24</v>
      </c>
      <c r="E38" s="18" t="s">
        <v>24</v>
      </c>
      <c r="F38" s="129" t="n">
        <v>9.79</v>
      </c>
      <c r="G38" s="129" t="n">
        <v>9.85</v>
      </c>
      <c r="H38" s="129" t="n">
        <v>9.95</v>
      </c>
      <c r="I38" s="129" t="n">
        <v>10.14</v>
      </c>
      <c r="J38" s="129" t="n">
        <v>18.16</v>
      </c>
      <c r="K38" s="129" t="n">
        <v>18.24</v>
      </c>
      <c r="L38" s="129" t="n">
        <v>18.24</v>
      </c>
      <c r="M38" s="10" t="n">
        <f aca="false">(L38/F38)^(1/6)-1</f>
        <v>0.109277890674935</v>
      </c>
      <c r="N38" s="11" t="n">
        <f aca="false">(L38-F38)/F38</f>
        <v>0.863125638406537</v>
      </c>
    </row>
    <row r="39" customFormat="false" ht="15" hidden="false" customHeight="false" outlineLevel="0" collapsed="false">
      <c r="A39" s="13" t="s">
        <v>304</v>
      </c>
      <c r="B39" s="16" t="n">
        <v>22.99</v>
      </c>
      <c r="C39" s="16" t="n">
        <v>23.99</v>
      </c>
      <c r="D39" s="16" t="n">
        <v>24.99</v>
      </c>
      <c r="E39" s="16" t="n">
        <v>26.99</v>
      </c>
      <c r="F39" s="16" t="n">
        <v>28.99</v>
      </c>
      <c r="G39" s="18" t="s">
        <v>24</v>
      </c>
      <c r="H39" s="18" t="s">
        <v>24</v>
      </c>
      <c r="I39" s="16" t="n">
        <v>34.99</v>
      </c>
      <c r="J39" s="16" t="n">
        <v>49.2</v>
      </c>
      <c r="K39" s="18" t="s">
        <v>24</v>
      </c>
      <c r="L39" s="18" t="s">
        <v>24</v>
      </c>
      <c r="M39" s="10" t="n">
        <f aca="false">(J39/B39)^(1/8)-1</f>
        <v>0.0997735396789139</v>
      </c>
      <c r="N39" s="11" t="n">
        <f aca="false">(J39-B39)/B39</f>
        <v>1.14006089604176</v>
      </c>
    </row>
    <row r="40" customFormat="false" ht="15" hidden="false" customHeight="false" outlineLevel="0" collapsed="false">
      <c r="A40" s="128" t="s">
        <v>46</v>
      </c>
      <c r="B40" s="129" t="n">
        <v>9.04</v>
      </c>
      <c r="C40" s="129" t="n">
        <v>9.57</v>
      </c>
      <c r="D40" s="129" t="n">
        <v>9.85</v>
      </c>
      <c r="E40" s="129" t="n">
        <v>8.96</v>
      </c>
      <c r="F40" s="129" t="n">
        <v>9.57</v>
      </c>
      <c r="G40" s="129" t="n">
        <v>13.17</v>
      </c>
      <c r="H40" s="129" t="n">
        <v>13.17</v>
      </c>
      <c r="I40" s="18" t="s">
        <v>24</v>
      </c>
      <c r="J40" s="18" t="s">
        <v>24</v>
      </c>
      <c r="K40" s="18" t="s">
        <v>24</v>
      </c>
      <c r="L40" s="18" t="s">
        <v>24</v>
      </c>
      <c r="M40" s="10" t="n">
        <f aca="false">(H40/B40)^(1/6)-1</f>
        <v>0.0647219907752346</v>
      </c>
      <c r="N40" s="11" t="n">
        <f aca="false">(H40-B40)/B40</f>
        <v>0.456858407079646</v>
      </c>
    </row>
    <row r="41" customFormat="false" ht="15" hidden="false" customHeight="false" outlineLevel="0" collapsed="false">
      <c r="A41" s="13" t="s">
        <v>351</v>
      </c>
      <c r="B41" s="18" t="s">
        <v>24</v>
      </c>
      <c r="C41" s="18" t="s">
        <v>24</v>
      </c>
      <c r="D41" s="18" t="s">
        <v>24</v>
      </c>
      <c r="E41" s="18" t="s">
        <v>24</v>
      </c>
      <c r="F41" s="16" t="n">
        <v>74</v>
      </c>
      <c r="G41" s="16" t="n">
        <v>75</v>
      </c>
      <c r="H41" s="18" t="s">
        <v>24</v>
      </c>
      <c r="I41" s="16" t="n">
        <v>123.45</v>
      </c>
      <c r="J41" s="16" t="n">
        <v>134.95</v>
      </c>
      <c r="K41" s="16" t="n">
        <v>129.07</v>
      </c>
      <c r="L41" s="16" t="n">
        <v>129.07</v>
      </c>
      <c r="M41" s="10" t="n">
        <f aca="false">(L41/F41)^(1/6)-1</f>
        <v>0.0971489666030347</v>
      </c>
      <c r="N41" s="11" t="n">
        <f aca="false">(L41-F41)/F41</f>
        <v>0.744189189189189</v>
      </c>
    </row>
    <row r="42" customFormat="false" ht="15" hidden="false" customHeight="false" outlineLevel="0" collapsed="false">
      <c r="A42" s="128" t="s">
        <v>478</v>
      </c>
      <c r="B42" s="18" t="s">
        <v>24</v>
      </c>
      <c r="C42" s="18" t="s">
        <v>24</v>
      </c>
      <c r="D42" s="18" t="s">
        <v>24</v>
      </c>
      <c r="E42" s="18" t="s">
        <v>24</v>
      </c>
      <c r="F42" s="18" t="s">
        <v>24</v>
      </c>
      <c r="G42" s="18" t="s">
        <v>24</v>
      </c>
      <c r="H42" s="18" t="s">
        <v>24</v>
      </c>
      <c r="I42" s="129" t="n">
        <v>315</v>
      </c>
      <c r="J42" s="129" t="n">
        <v>337</v>
      </c>
      <c r="K42" s="129" t="n">
        <v>408</v>
      </c>
      <c r="L42" s="129" t="n">
        <v>418</v>
      </c>
      <c r="M42" s="10" t="n">
        <f aca="false">(L42/I42)^(1/3)-1</f>
        <v>0.0988925843866124</v>
      </c>
      <c r="N42" s="11" t="n">
        <f aca="false">(L42-I42)/I42</f>
        <v>0.326984126984127</v>
      </c>
    </row>
    <row r="43" customFormat="false" ht="15" hidden="false" customHeight="false" outlineLevel="0" collapsed="false">
      <c r="A43" s="13" t="s">
        <v>481</v>
      </c>
      <c r="B43" s="18" t="s">
        <v>24</v>
      </c>
      <c r="C43" s="18" t="s">
        <v>24</v>
      </c>
      <c r="D43" s="18" t="s">
        <v>24</v>
      </c>
      <c r="E43" s="18" t="s">
        <v>24</v>
      </c>
      <c r="F43" s="18" t="s">
        <v>24</v>
      </c>
      <c r="G43" s="18" t="s">
        <v>24</v>
      </c>
      <c r="H43" s="18" t="s">
        <v>24</v>
      </c>
      <c r="I43" s="16" t="n">
        <v>297</v>
      </c>
      <c r="J43" s="16" t="n">
        <v>349</v>
      </c>
      <c r="K43" s="18" t="s">
        <v>24</v>
      </c>
      <c r="L43" s="18" t="s">
        <v>24</v>
      </c>
      <c r="M43" s="10" t="n">
        <f aca="false">(J43/I43)^(1/1)-1</f>
        <v>0.175084175084175</v>
      </c>
      <c r="N43" s="11" t="n">
        <f aca="false">(J43-I43)/I43</f>
        <v>0.175084175084175</v>
      </c>
    </row>
    <row r="44" customFormat="false" ht="15" hidden="false" customHeight="false" outlineLevel="0" collapsed="false">
      <c r="A44" s="128" t="s">
        <v>172</v>
      </c>
      <c r="B44" s="129" t="n">
        <v>7.72</v>
      </c>
      <c r="C44" s="129" t="n">
        <v>7.72</v>
      </c>
      <c r="D44" s="129" t="n">
        <v>7.97</v>
      </c>
      <c r="E44" s="129" t="n">
        <v>8.17</v>
      </c>
      <c r="F44" s="129" t="n">
        <v>8.17</v>
      </c>
      <c r="G44" s="129" t="n">
        <v>8.17</v>
      </c>
      <c r="H44" s="129" t="n">
        <v>8.48</v>
      </c>
      <c r="I44" s="129" t="n">
        <v>9.15</v>
      </c>
      <c r="J44" s="129" t="n">
        <v>9.3</v>
      </c>
      <c r="K44" s="129" t="n">
        <v>9.3</v>
      </c>
      <c r="L44" s="129" t="n">
        <v>7.99</v>
      </c>
      <c r="M44" s="10" t="n">
        <f aca="false">(L44/B44)^(1/10)-1</f>
        <v>0.00344355503353433</v>
      </c>
      <c r="N44" s="11" t="n">
        <f aca="false">(L44-B44)/B44</f>
        <v>0.0349740932642488</v>
      </c>
    </row>
    <row r="46" customFormat="false" ht="15" hidden="false" customHeight="false" outlineLevel="0" collapsed="false">
      <c r="A46" s="130" t="s">
        <v>508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2026-03-21T14:46:38Z</dcterms:created>
  <dc:creator>openpyxl</dc:creator>
  <dc:description/>
  <dc:language>en-US</dc:language>
  <cp:lastModifiedBy/>
  <dcterms:modified xsi:type="dcterms:W3CDTF">2026-03-21T14:46:39Z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