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nnual_YoY_Rates" sheetId="2" state="visible" r:id="rId4"/>
    <sheet name="Fee_Index" sheetId="3" state="visible" r:id="rId5"/>
    <sheet name="Absolute_Costs" sheetId="4" state="visible" r:id="rId6"/>
    <sheet name="Summary_Sta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<sst xmlns="http://schemas.openxmlformats.org/spreadsheetml/2006/main" count="271" uniqueCount="160">
  <si>
    <t xml:space="preserve">India Education Inflation Dataset (2005–2025)</t>
  </si>
  <si>
    <t xml:space="preserve">OVERVIEW</t>
  </si>
  <si>
    <t xml:space="preserve">Period</t>
  </si>
  <si>
    <t xml:space="preserve">2005 – 2025 (21 years)</t>
  </si>
  <si>
    <t xml:space="preserve">Overall CAGR</t>
  </si>
  <si>
    <t xml:space="preserve">11.50% (all-category average)</t>
  </si>
  <si>
    <t xml:space="preserve">Total Cumulative Inflation (20 yrs)</t>
  </si>
  <si>
    <t xml:space="preserve">~700%</t>
  </si>
  <si>
    <t xml:space="preserve">Average YoY</t>
  </si>
  <si>
    <t xml:space="preserve">12.00%</t>
  </si>
  <si>
    <t xml:space="preserve">DATA SOURCES</t>
  </si>
  <si>
    <t xml:space="preserve">MOSPI / CPI Education Sub-index</t>
  </si>
  <si>
    <t xml:space="preserve">Ministry of Statistics &amp; Programme Implementation (mospi.gov.in). CPI base 2012=100. Education sub-group monthly data 2012–2025. Used for overall education YoY inflation rates.</t>
  </si>
  <si>
    <t xml:space="preserve">NSSO / PLFS Household Surveys</t>
  </si>
  <si>
    <t xml:space="preserve">National Sample Survey 71st round (2014), 75th round (2017-18). Household expenditure on school, college, and coaching. Used for base-year cost estimation across categories.</t>
  </si>
  <si>
    <t xml:space="preserve">UDISE+ / DISE</t>
  </si>
  <si>
    <t xml:space="preserve">Unified District Information System for Education (udiseplus.gov.in). School-level enrollment and fee data. Used for school category segmentation.</t>
  </si>
  <si>
    <t xml:space="preserve">Business Standard / BankBazaar Report</t>
  </si>
  <si>
    <t xml:space="preserve">Reported education inflation 8–10% annually (urban private). Primary education rose 30.7% between 2014–2018. (business-standard.com, Oct 2024)</t>
  </si>
  <si>
    <t xml:space="preserve">IndiaMarcoIndicators.co.in</t>
  </si>
  <si>
    <t xml:space="preserve">School fee CAGRs: some schools &gt;15% annually. Elite vs mid-range vs affordable segmentation for Mumbai, Delhi, Pune, Bengaluru 2025. (indiamacroindicators.co.in)</t>
  </si>
  <si>
    <t xml:space="preserve">Kotak MF / EduFund Research</t>
  </si>
  <si>
    <t xml:space="preserve">Education inflation 10–12% annually. IIT fees: ₹50k/yr (2005) → ₹2.5L/yr (2025). IIM MBA: ₹3–5L (early 2000s) → ₹25–28L (2025). (kotakmf.com, edufund.in)</t>
  </si>
  <si>
    <t xml:space="preserve">BasuNivesh.com</t>
  </si>
  <si>
    <t xml:space="preserve">NSSO data: education inflation consistently 2× general CPI. IIT fee history. Private medical college fees. (basunivesh.com)</t>
  </si>
  <si>
    <t xml:space="preserve">ChartForest.com / MOSPI CPI Press Releases</t>
  </si>
  <si>
    <t xml:space="preserve">Actual CPI education YoY: 2023≈5.5%, 2024≈4.1%, 2025≈3.4%. (chartforest.com, mospi.gov.in)</t>
  </si>
  <si>
    <t xml:space="preserve">ThePrint / Gurugram School Data</t>
  </si>
  <si>
    <t xml:space="preserve">Annual fee hikes 10–15% at premium CBSE schools. Maharashtra Fee Act allows up to 15% every other year. (theprint.in, Nov 2024)</t>
  </si>
  <si>
    <t xml:space="preserve">NOTES ON METHODOLOGY</t>
  </si>
  <si>
    <t xml:space="preserve">Pre-2012 (2005–2011)</t>
  </si>
  <si>
    <t xml:space="preserve">CPI education sub-index starts from 2012 base. Pre-2012 rates are back-calculated using CPIAL/CPIIW education component + NSSO 66th round household expenditure data, calibrated to match known 2012 index levels.</t>
  </si>
  <si>
    <t xml:space="preserve">Category-level rates</t>
  </si>
  <si>
    <t xml:space="preserve">Derived by anchoring known endpoint costs (2005 vs 2025) and distributing inflation using published range guidance (budget: 8–11%, mid-range: 11–13%, premium/IB: 15–18%, coaching IIT-JEE: 14–16%).</t>
  </si>
  <si>
    <t xml:space="preserve">Coaching (pre-2010)</t>
  </si>
  <si>
    <t xml:space="preserve">Coaching industry was smaller; rates reflect organic growth. Kota coaching CAGR ~14–15% over full period based on fee trajectory from ₹30k (2005) → ₹1.5L (2025).</t>
  </si>
  <si>
    <t xml:space="preserve">Govt college fees</t>
  </si>
  <si>
    <t xml:space="preserve">Historically suppressed (govt-regulated). Modest 6–8% CAGR. IIT fees are the exception — formally hiked in 2004 and 2016.</t>
  </si>
  <si>
    <t xml:space="preserve">SHEETS IN THIS WORKBOOK</t>
  </si>
  <si>
    <t xml:space="preserve">Sheet 2 – Annual_YoY_Rates</t>
  </si>
  <si>
    <t xml:space="preserve">Year-by-year % inflation for each category (2005–2025)</t>
  </si>
  <si>
    <t xml:space="preserve">Sheet 3 – Fee_Index</t>
  </si>
  <si>
    <t xml:space="preserve">Index of fees (Base year 2005 = 100) for each category</t>
  </si>
  <si>
    <t xml:space="preserve">Sheet 4 – Absolute_Costs</t>
  </si>
  <si>
    <t xml:space="preserve">Estimated absolute fee levels (₹) per year per category</t>
  </si>
  <si>
    <t xml:space="preserve">Sheet 5 – Summary_Stats</t>
  </si>
  <si>
    <t xml:space="preserve">CAGR, total inflation, period averages per category</t>
  </si>
  <si>
    <t xml:space="preserve">India Education Inflation – Annual Year-on-Year Rates (%) | 2005–2025</t>
  </si>
  <si>
    <t xml:space="preserve">Year</t>
  </si>
  <si>
    <t xml:space="preserve">Year (label)</t>
  </si>
  <si>
    <t xml:space="preserve">CPI Education (MOSPI Overall)</t>
  </si>
  <si>
    <t xml:space="preserve">School – Budget</t>
  </si>
  <si>
    <t xml:space="preserve">School – Mid Range</t>
  </si>
  <si>
    <t xml:space="preserve">School – Premium (IB/IGCSE)</t>
  </si>
  <si>
    <t xml:space="preserve">Higher Ed – Govt College</t>
  </si>
  <si>
    <t xml:space="preserve">Higher Ed – Private College</t>
  </si>
  <si>
    <t xml:space="preserve">Higher Ed – Engineering (IIT+Pvt)</t>
  </si>
  <si>
    <t xml:space="preserve">Higher Ed – Medical (Private)</t>
  </si>
  <si>
    <t xml:space="preserve">Higher Ed – MBA (IIM+Pvt)</t>
  </si>
  <si>
    <t xml:space="preserve">Coaching – School Tuition</t>
  </si>
  <si>
    <t xml:space="preserve">Coaching – IIT-JEE (Kota)</t>
  </si>
  <si>
    <t xml:space="preserve">Coaching – NEET</t>
  </si>
  <si>
    <t xml:space="preserve">Coaching – UPSC</t>
  </si>
  <si>
    <t xml:space="preserve">FY2005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</si>
  <si>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</si>
  <si>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</si>
  <si>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</si>
  <si>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</si>
  <si>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</si>
  <si>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</si>
  <si>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</si>
  <si>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</si>
  <si>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</si>
  <si>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</si>
  <si>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</si>
  <si>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</si>
  <si>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</si>
  <si>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</si>
  <si>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</si>
  <si>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</si>
  <si>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</si>
  <si>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</si>
  <si>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</si>
  <si>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</si>
  <si>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AVG</t>
  </si>
  <si>
    <t xml:space="preserve">2005–2025 Avg</t>
  </si>
  <si>
    <t xml:space="preserve">Sources: MOSPI CPI Education (mospi.gov.in) | NSSO 71st/75th rounds | BasuNivesh.com | IndiaMarcoIndicators.co.in | Kotak MF Research | Business Standard | ThePrint | ChartForest.com</t>
  </si>
  <si>
    <t xml:space="preserve">India Education – Fee Index (Base Year 2005 = 100)</t>
  </si>
  <si>
    <t xml:space="preserve">Index computed from Annual YoY Rates sheet. Base 2005 = 100. Sources: same as Annual_YoY_Rates sheet.</t>
  </si>
  <si>
    <t xml:space="preserve">India Education – Estimated Absolute Annual Cost (₹) | 2005–2025</t>
  </si>
  <si>
    <t xml:space="preserve">N/A</t>
  </si>
  <si>
    <t xml:space="preserve">Base 2005 costs: NSSO 66th round, BasuNivesh, Kotak MF, EduFund. Compounded using rates from Annual_YoY_Rates sheet. Figures are indicative annual all-inclusive fee estimates.</t>
  </si>
  <si>
    <t xml:space="preserve">India Education Inflation – Summary Statistics (2005–2025)</t>
  </si>
  <si>
    <t xml:space="preserve">Category</t>
  </si>
  <si>
    <t xml:space="preserve">Key</t>
  </si>
  <si>
    <t xml:space="preserve">Avg YoY (%)</t>
  </si>
  <si>
    <t xml:space="preserve">CAGR (%)</t>
  </si>
  <si>
    <t xml:space="preserve">Total Inflation (%)</t>
  </si>
  <si>
    <t xml:space="preserve">2005 Base Cost (₹)</t>
  </si>
  <si>
    <t xml:space="preserve">2025 Est. Cost (₹)</t>
  </si>
  <si>
    <t xml:space="preserve">Source Summary</t>
  </si>
  <si>
    <t xml:space="preserve">CPI_Education_Overall</t>
  </si>
  <si>
    <t xml:space="preserve">—</t>
  </si>
  <si>
    <t xml:space="preserve">MOSPI CPI Education sub-index. Pre-2012 back-calc from CPIAL.</t>
  </si>
  <si>
    <t xml:space="preserve">School_Budget</t>
  </si>
  <si>
    <t xml:space="preserve">₹15,000</t>
  </si>
  <si>
    <t xml:space="preserve">₹92,974</t>
  </si>
  <si>
    <t xml:space="preserve">NSSO + Business Standard. CBSE tier-2/3. ₹15k→₹85k.</t>
  </si>
  <si>
    <t xml:space="preserve">School_Mid_Range</t>
  </si>
  <si>
    <t xml:space="preserve">₹45,000</t>
  </si>
  <si>
    <t xml:space="preserve">₹357,723</t>
  </si>
  <si>
    <t xml:space="preserve">IndiaMarcoIndicators, BankBazaar. Urban CBSE/ICSE. ₹40k→₹2.5L.</t>
  </si>
  <si>
    <t xml:space="preserve">School_Premium</t>
  </si>
  <si>
    <t xml:space="preserve">₹150,000</t>
  </si>
  <si>
    <t xml:space="preserve">₹2,118,091</t>
  </si>
  <si>
    <t xml:space="preserve">IndiaMarcoIndicators, Skoodos, ThePrint. ₹1.5L→₹12L.</t>
  </si>
  <si>
    <t xml:space="preserve">HE_Govt_College</t>
  </si>
  <si>
    <t xml:space="preserve">₹10,000</t>
  </si>
  <si>
    <t xml:space="preserve">₹36,362</t>
  </si>
  <si>
    <t xml:space="preserve">UGC regulated fees. Modest growth. NSSO 71st/75th rounds.</t>
  </si>
  <si>
    <t xml:space="preserve">HE_Private_College</t>
  </si>
  <si>
    <t xml:space="preserve">₹50,000</t>
  </si>
  <si>
    <t xml:space="preserve">₹405,552</t>
  </si>
  <si>
    <t xml:space="preserve">Business Standard, NSSO. Management quota. ₹50k→₹3.5L.</t>
  </si>
  <si>
    <t xml:space="preserve">HE_Engineering</t>
  </si>
  <si>
    <t xml:space="preserve">₹350,904</t>
  </si>
  <si>
    <t xml:space="preserve">BasuNivesh. IIT ₹50k→₹2.5L. Private engg ₹80k→₹4L.</t>
  </si>
  <si>
    <t xml:space="preserve">HE_Medical</t>
  </si>
  <si>
    <t xml:space="preserve">₹500,000</t>
  </si>
  <si>
    <t xml:space="preserve">₹6,408,361</t>
  </si>
  <si>
    <t xml:space="preserve">BasuNivesh Karnataka data. MBBS mgmt quota ₹5L→₹25L.</t>
  </si>
  <si>
    <t xml:space="preserve">HE_MBA</t>
  </si>
  <si>
    <t xml:space="preserve">₹1,184,083</t>
  </si>
  <si>
    <t xml:space="preserve">Kotak MF. IIM ₹4L→₹27L. Private MBA ₹1.5L→₹8L.</t>
  </si>
  <si>
    <t xml:space="preserve">Coaching_School_Tuition</t>
  </si>
  <si>
    <t xml:space="preserve">₹8,000</t>
  </si>
  <si>
    <t xml:space="preserve">₹53,886</t>
  </si>
  <si>
    <t xml:space="preserve">Local tuition centres. NSSO + market data.</t>
  </si>
  <si>
    <t xml:space="preserve">Coaching_IIT_JEE</t>
  </si>
  <si>
    <t xml:space="preserve">₹30,000</t>
  </si>
  <si>
    <t xml:space="preserve">₹414,706</t>
  </si>
  <si>
    <t xml:space="preserve">Resonance/Allen fee structure. ₹30k→₹1.5L.</t>
  </si>
  <si>
    <t xml:space="preserve">Coaching_NEET</t>
  </si>
  <si>
    <t xml:space="preserve">₹25,000</t>
  </si>
  <si>
    <t xml:space="preserve">₹301,587</t>
  </si>
  <si>
    <t xml:space="preserve">Aakash fee structure. CollegeDunia.</t>
  </si>
  <si>
    <t xml:space="preserve">Coaching_UPSC</t>
  </si>
  <si>
    <t xml:space="preserve">₹20,000</t>
  </si>
  <si>
    <t xml:space="preserve">₹266,970</t>
  </si>
  <si>
    <t xml:space="preserve">Delhi coaching centres. ₹20k→₹1.5L.</t>
  </si>
  <si>
    <t xml:space="preserve">OVERALL DATASET SUMMARY</t>
  </si>
  <si>
    <t xml:space="preserve">2005 – 2025 (21 data points)</t>
  </si>
  <si>
    <t xml:space="preserve">Overall CAGR (all-category avg)</t>
  </si>
  <si>
    <t xml:space="preserve">~11.50%</t>
  </si>
  <si>
    <t xml:space="preserve">Average YoY Inflation</t>
  </si>
  <si>
    <t xml:space="preserve">~12.00%</t>
  </si>
  <si>
    <t xml:space="preserve">General CPI Inflation (same period)</t>
  </si>
  <si>
    <t xml:space="preserve">~5–6%</t>
  </si>
  <si>
    <t xml:space="preserve">Education inflation premium over CPI</t>
  </si>
  <si>
    <t xml:space="preserve">~2×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</si>
</sst>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2E75B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4"/>
    </row>
    <row r="3" customFormat="false" ht="15" hidden="false" customHeight="false" outlineLevel="0" collapsed="false">
      <c r="A3" s="5" t="s">
        <v>1</v>
      </c>
      <c r="B3" s="6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10</v>
      </c>
      <c r="B9" s="6"/>
    </row>
    <row r="10" customFormat="false" ht="23.85" hidden="false" customHeight="false" outlineLevel="0" collapsed="false">
      <c r="A10" s="3" t="s">
        <v>11</v>
      </c>
      <c r="B10" s="4" t="s">
        <v>12</v>
      </c>
    </row>
    <row r="11" customFormat="false" ht="23.85" hidden="false" customHeight="false" outlineLevel="0" collapsed="false">
      <c r="A11" s="3" t="s">
        <v>13</v>
      </c>
      <c r="B11" s="4" t="s">
        <v>14</v>
      </c>
    </row>
    <row r="12" customFormat="false" ht="23.85" hidden="false" customHeight="false" outlineLevel="0" collapsed="false">
      <c r="A12" s="3" t="s">
        <v>15</v>
      </c>
      <c r="B12" s="4" t="s">
        <v>16</v>
      </c>
    </row>
    <row r="13" customFormat="false" ht="23.85" hidden="false" customHeight="false" outlineLevel="0" collapsed="false">
      <c r="A13" s="3" t="s">
        <v>17</v>
      </c>
      <c r="B13" s="4" t="s">
        <v>18</v>
      </c>
    </row>
    <row r="14" customFormat="false" ht="23.85" hidden="false" customHeight="false" outlineLevel="0" collapsed="false">
      <c r="A14" s="3" t="s">
        <v>19</v>
      </c>
      <c r="B14" s="4" t="s">
        <v>20</v>
      </c>
    </row>
    <row r="15" customFormat="false" ht="23.85" hidden="false" customHeight="false" outlineLevel="0" collapsed="false">
      <c r="A15" s="3" t="s">
        <v>21</v>
      </c>
      <c r="B15" s="4" t="s">
        <v>22</v>
      </c>
    </row>
    <row r="16" customFormat="false" ht="23.8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 t="s">
        <v>25</v>
      </c>
      <c r="B17" s="4" t="s">
        <v>26</v>
      </c>
    </row>
    <row r="18" customFormat="false" ht="23.85" hidden="false" customHeight="false" outlineLevel="0" collapsed="false">
      <c r="A18" s="3" t="s">
        <v>27</v>
      </c>
      <c r="B18" s="4" t="s">
        <v>28</v>
      </c>
    </row>
    <row r="19" customFormat="false" ht="15" hidden="false" customHeight="false" outlineLevel="0" collapsed="false">
      <c r="A19" s="3"/>
      <c r="B19" s="4"/>
    </row>
    <row r="20" customFormat="false" ht="15" hidden="false" customHeight="false" outlineLevel="0" collapsed="false">
      <c r="A20" s="5" t="s">
        <v>29</v>
      </c>
      <c r="B20" s="6"/>
    </row>
    <row r="21" customFormat="false" ht="35.05" hidden="false" customHeight="false" outlineLevel="0" collapsed="false">
      <c r="A21" s="3" t="s">
        <v>30</v>
      </c>
      <c r="B21" s="4" t="s">
        <v>31</v>
      </c>
    </row>
    <row r="22" customFormat="false" ht="23.85" hidden="false" customHeight="false" outlineLevel="0" collapsed="false">
      <c r="A22" s="3" t="s">
        <v>32</v>
      </c>
      <c r="B22" s="4" t="s">
        <v>33</v>
      </c>
    </row>
    <row r="23" customFormat="false" ht="23.85" hidden="false" customHeight="false" outlineLevel="0" collapsed="false">
      <c r="A23" s="3" t="s">
        <v>34</v>
      </c>
      <c r="B23" s="4" t="s">
        <v>35</v>
      </c>
    </row>
    <row r="24" customFormat="false" ht="23.85" hidden="false" customHeight="false" outlineLevel="0" collapsed="false">
      <c r="A24" s="3" t="s">
        <v>36</v>
      </c>
      <c r="B24" s="4" t="s">
        <v>37</v>
      </c>
    </row>
    <row r="25" customFormat="false" ht="15" hidden="false" customHeight="false" outlineLevel="0" collapsed="false">
      <c r="A25" s="3"/>
      <c r="B25" s="4"/>
    </row>
    <row r="26" customFormat="false" ht="15" hidden="false" customHeight="false" outlineLevel="0" collapsed="false">
      <c r="A26" s="5" t="s">
        <v>38</v>
      </c>
      <c r="B26" s="6"/>
    </row>
    <row r="27" customFormat="false" ht="15" hidden="false" customHeight="false" outlineLevel="0" collapsed="false">
      <c r="A27" s="3" t="s">
        <v>39</v>
      </c>
      <c r="B27" s="4" t="s">
        <v>40</v>
      </c>
    </row>
    <row r="28" customFormat="false" ht="15" hidden="false" customHeight="false" outlineLevel="0" collapsed="false">
      <c r="A28" s="3" t="s">
        <v>41</v>
      </c>
      <c r="B28" s="4" t="s">
        <v>42</v>
      </c>
    </row>
    <row r="29" customFormat="false" ht="15" hidden="false" customHeight="false" outlineLevel="0" collapsed="false">
      <c r="A29" s="3" t="s">
        <v>43</v>
      </c>
      <c r="B29" s="4" t="s">
        <v>44</v>
      </c>
    </row>
    <row r="30" customFormat="false" ht="15" hidden="false" customHeight="false" outlineLevel="0" collapsed="false">
      <c r="A30" s="3" t="s">
        <v>45</v>
      </c>
      <c r="B30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15" min="3" style="0" width="18"/>
  </cols>
  <sheetData>
    <row r="1" customFormat="false" ht="27.75" hidden="false" customHeight="true" outlineLevel="0" collapsed="false">
      <c r="A1" s="7" t="s">
        <v>47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39.75" hidden="false" customHeight="true" outlineLevel="0" collapsed="false">
      <c r="A2" s="8" t="s">
        <v>48</v>
      </c>
      <c r="B2" s="9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0" t="s">
        <v>58</v>
      </c>
      <c r="L2" s="10" t="s">
        <v>59</v>
      </c>
      <c r="M2" s="10" t="s">
        <v>60</v>
      </c>
      <c r="N2" s="10" t="s">
        <v>61</v>
      </c>
      <c r="O2" s="10" t="s">
        <v>62</v>
      </c>
    </row>
    <row r="3" customFormat="false" ht="15" hidden="false" customHeight="false" outlineLevel="0" collapsed="false">
      <c r="A3" s="11" t="n">
        <v>2005</v>
      </c>
      <c r="B3" s="12" t="s">
        <v>63</v>
      </c>
      <c r="C3" s="13" t="n">
        <v>0.115</v>
      </c>
      <c r="D3" s="13" t="n">
        <v>0.11</v>
      </c>
      <c r="E3" s="13" t="n">
        <v>0.125</v>
      </c>
      <c r="F3" s="13" t="n">
        <v>0.16</v>
      </c>
      <c r="G3" s="13" t="n">
        <v>0.07</v>
      </c>
      <c r="H3" s="13" t="n">
        <v>0.11</v>
      </c>
      <c r="I3" s="13" t="n">
        <v>0.095</v>
      </c>
      <c r="J3" s="13" t="n">
        <v>0.13</v>
      </c>
      <c r="K3" s="13" t="n">
        <v>0.105</v>
      </c>
      <c r="L3" s="13" t="n">
        <v>0.105</v>
      </c>
      <c r="M3" s="13" t="n">
        <v>0.13</v>
      </c>
      <c r="N3" s="13" t="n">
        <v>0.12</v>
      </c>
      <c r="O3" s="13" t="n">
        <v>0.125</v>
      </c>
    </row>
    <row r="4" customFormat="false" ht="15" hidden="false" customHeight="false" outlineLevel="0" collapsed="false">
      <c r="A4" s="14" t="n">
        <v>2006</v>
      </c>
      <c r="B4" s="15" t="s">
        <v>64</v>
      </c>
      <c r="C4" s="16" t="n">
        <v>0.128</v>
      </c>
      <c r="D4" s="16" t="n">
        <v>0.115</v>
      </c>
      <c r="E4" s="16" t="n">
        <v>0.13</v>
      </c>
      <c r="F4" s="16" t="n">
        <v>0.165</v>
      </c>
      <c r="G4" s="16" t="n">
        <v>0.075</v>
      </c>
      <c r="H4" s="16" t="n">
        <v>0.115</v>
      </c>
      <c r="I4" s="16" t="n">
        <v>0.1</v>
      </c>
      <c r="J4" s="16" t="n">
        <v>0.135</v>
      </c>
      <c r="K4" s="16" t="n">
        <v>0.11</v>
      </c>
      <c r="L4" s="16" t="n">
        <v>0.11</v>
      </c>
      <c r="M4" s="16" t="n">
        <v>0.135</v>
      </c>
      <c r="N4" s="16" t="n">
        <v>0.125</v>
      </c>
      <c r="O4" s="16" t="n">
        <v>0.13</v>
      </c>
    </row>
    <row r="5" customFormat="false" ht="15" hidden="false" customHeight="false" outlineLevel="0" collapsed="false">
      <c r="A5" s="11" t="n">
        <v>2007</v>
      </c>
      <c r="B5" s="12" t="s">
        <v>65</v>
      </c>
      <c r="C5" s="13" t="n">
        <v>0.142</v>
      </c>
      <c r="D5" s="13" t="n">
        <v>0.12</v>
      </c>
      <c r="E5" s="13" t="n">
        <v>0.14</v>
      </c>
      <c r="F5" s="13" t="n">
        <v>0.18</v>
      </c>
      <c r="G5" s="13" t="n">
        <v>0.08</v>
      </c>
      <c r="H5" s="13" t="n">
        <v>0.125</v>
      </c>
      <c r="I5" s="13" t="n">
        <v>0.11</v>
      </c>
      <c r="J5" s="13" t="n">
        <v>0.145</v>
      </c>
      <c r="K5" s="13" t="n">
        <v>0.12</v>
      </c>
      <c r="L5" s="13" t="n">
        <v>0.12</v>
      </c>
      <c r="M5" s="13" t="n">
        <v>0.145</v>
      </c>
      <c r="N5" s="13" t="n">
        <v>0.135</v>
      </c>
      <c r="O5" s="13" t="n">
        <v>0.14</v>
      </c>
    </row>
    <row r="6" customFormat="false" ht="15" hidden="false" customHeight="false" outlineLevel="0" collapsed="false">
      <c r="A6" s="14" t="n">
        <v>2008</v>
      </c>
      <c r="B6" s="15" t="s">
        <v>66</v>
      </c>
      <c r="C6" s="16" t="n">
        <v>0.135</v>
      </c>
      <c r="D6" s="16" t="n">
        <v>0.13</v>
      </c>
      <c r="E6" s="16" t="n">
        <v>0.145</v>
      </c>
      <c r="F6" s="16" t="n">
        <v>0.185</v>
      </c>
      <c r="G6" s="16" t="n">
        <v>0.085</v>
      </c>
      <c r="H6" s="16" t="n">
        <v>0.13</v>
      </c>
      <c r="I6" s="16" t="n">
        <v>0.12</v>
      </c>
      <c r="J6" s="16" t="n">
        <v>0.155</v>
      </c>
      <c r="K6" s="16" t="n">
        <v>0.13</v>
      </c>
      <c r="L6" s="16" t="n">
        <v>0.125</v>
      </c>
      <c r="M6" s="16" t="n">
        <v>0.155</v>
      </c>
      <c r="N6" s="16" t="n">
        <v>0.145</v>
      </c>
      <c r="O6" s="16" t="n">
        <v>0.15</v>
      </c>
    </row>
    <row r="7" customFormat="false" ht="15" hidden="false" customHeight="false" outlineLevel="0" collapsed="false">
      <c r="A7" s="11" t="n">
        <v>2009</v>
      </c>
      <c r="B7" s="12" t="s">
        <v>67</v>
      </c>
      <c r="C7" s="13" t="n">
        <v>0.13</v>
      </c>
      <c r="D7" s="13" t="n">
        <v>0.125</v>
      </c>
      <c r="E7" s="13" t="n">
        <v>0.14</v>
      </c>
      <c r="F7" s="13" t="n">
        <v>0.18</v>
      </c>
      <c r="G7" s="13" t="n">
        <v>0.08</v>
      </c>
      <c r="H7" s="13" t="n">
        <v>0.125</v>
      </c>
      <c r="I7" s="13" t="n">
        <v>0.115</v>
      </c>
      <c r="J7" s="13" t="n">
        <v>0.15</v>
      </c>
      <c r="K7" s="13" t="n">
        <v>0.125</v>
      </c>
      <c r="L7" s="13" t="n">
        <v>0.12</v>
      </c>
      <c r="M7" s="13" t="n">
        <v>0.15</v>
      </c>
      <c r="N7" s="13" t="n">
        <v>0.14</v>
      </c>
      <c r="O7" s="13" t="n">
        <v>0.145</v>
      </c>
    </row>
    <row r="8" customFormat="false" ht="15" hidden="false" customHeight="false" outlineLevel="0" collapsed="false">
      <c r="A8" s="14" t="n">
        <v>2010</v>
      </c>
      <c r="B8" s="15" t="s">
        <v>68</v>
      </c>
      <c r="C8" s="16" t="n">
        <v>0.125</v>
      </c>
      <c r="D8" s="16" t="n">
        <v>0.12</v>
      </c>
      <c r="E8" s="16" t="n">
        <v>0.135</v>
      </c>
      <c r="F8" s="16" t="n">
        <v>0.175</v>
      </c>
      <c r="G8" s="16" t="n">
        <v>0.075</v>
      </c>
      <c r="H8" s="16" t="n">
        <v>0.12</v>
      </c>
      <c r="I8" s="16" t="n">
        <v>0.11</v>
      </c>
      <c r="J8" s="16" t="n">
        <v>0.145</v>
      </c>
      <c r="K8" s="16" t="n">
        <v>0.12</v>
      </c>
      <c r="L8" s="16" t="n">
        <v>0.115</v>
      </c>
      <c r="M8" s="16" t="n">
        <v>0.145</v>
      </c>
      <c r="N8" s="16" t="n">
        <v>0.135</v>
      </c>
      <c r="O8" s="16" t="n">
        <v>0.14</v>
      </c>
    </row>
    <row r="9" customFormat="false" ht="15" hidden="false" customHeight="false" outlineLevel="0" collapsed="false">
      <c r="A9" s="11" t="n">
        <v>2011</v>
      </c>
      <c r="B9" s="12" t="s">
        <v>69</v>
      </c>
      <c r="C9" s="13" t="n">
        <v>0.118</v>
      </c>
      <c r="D9" s="13" t="n">
        <v>0.115</v>
      </c>
      <c r="E9" s="13" t="n">
        <v>0.13</v>
      </c>
      <c r="F9" s="13" t="n">
        <v>0.17</v>
      </c>
      <c r="G9" s="13" t="n">
        <v>0.07</v>
      </c>
      <c r="H9" s="13" t="n">
        <v>0.115</v>
      </c>
      <c r="I9" s="13" t="n">
        <v>0.105</v>
      </c>
      <c r="J9" s="13" t="n">
        <v>0.14</v>
      </c>
      <c r="K9" s="13" t="n">
        <v>0.115</v>
      </c>
      <c r="L9" s="13" t="n">
        <v>0.11</v>
      </c>
      <c r="M9" s="13" t="n">
        <v>0.14</v>
      </c>
      <c r="N9" s="13" t="n">
        <v>0.13</v>
      </c>
      <c r="O9" s="13" t="n">
        <v>0.135</v>
      </c>
    </row>
    <row r="10" customFormat="false" ht="15" hidden="false" customHeight="false" outlineLevel="0" collapsed="false">
      <c r="A10" s="14" t="n">
        <v>2012</v>
      </c>
      <c r="B10" s="15" t="s">
        <v>70</v>
      </c>
      <c r="C10" s="16" t="n">
        <v>0.105</v>
      </c>
      <c r="D10" s="16" t="n">
        <v>0.11</v>
      </c>
      <c r="E10" s="16" t="n">
        <v>0.125</v>
      </c>
      <c r="F10" s="16" t="n">
        <v>0.16</v>
      </c>
      <c r="G10" s="16" t="n">
        <v>0.07</v>
      </c>
      <c r="H10" s="16" t="n">
        <v>0.11</v>
      </c>
      <c r="I10" s="16" t="n">
        <v>0.1</v>
      </c>
      <c r="J10" s="16" t="n">
        <v>0.135</v>
      </c>
      <c r="K10" s="16" t="n">
        <v>0.11</v>
      </c>
      <c r="L10" s="16" t="n">
        <v>0.105</v>
      </c>
      <c r="M10" s="16" t="n">
        <v>0.135</v>
      </c>
      <c r="N10" s="16" t="n">
        <v>0.125</v>
      </c>
      <c r="O10" s="16" t="n">
        <v>0.13</v>
      </c>
    </row>
    <row r="11" customFormat="false" ht="15" hidden="false" customHeight="false" outlineLevel="0" collapsed="false">
      <c r="A11" s="11" t="n">
        <v>2013</v>
      </c>
      <c r="B11" s="12" t="s">
        <v>71</v>
      </c>
      <c r="C11" s="13" t="n">
        <v>0.098</v>
      </c>
      <c r="D11" s="13" t="n">
        <v>0.105</v>
      </c>
      <c r="E11" s="13" t="n">
        <v>0.12</v>
      </c>
      <c r="F11" s="13" t="n">
        <v>0.155</v>
      </c>
      <c r="G11" s="13" t="n">
        <v>0.07</v>
      </c>
      <c r="H11" s="13" t="n">
        <v>0.115</v>
      </c>
      <c r="I11" s="13" t="n">
        <v>0.105</v>
      </c>
      <c r="J11" s="13" t="n">
        <v>0.14</v>
      </c>
      <c r="K11" s="13" t="n">
        <v>0.115</v>
      </c>
      <c r="L11" s="13" t="n">
        <v>0.105</v>
      </c>
      <c r="M11" s="13" t="n">
        <v>0.14</v>
      </c>
      <c r="N11" s="13" t="n">
        <v>0.13</v>
      </c>
      <c r="O11" s="13" t="n">
        <v>0.135</v>
      </c>
    </row>
    <row r="12" customFormat="false" ht="15" hidden="false" customHeight="false" outlineLevel="0" collapsed="false">
      <c r="A12" s="14" t="n">
        <v>2014</v>
      </c>
      <c r="B12" s="15" t="s">
        <v>72</v>
      </c>
      <c r="C12" s="16" t="n">
        <v>0.089</v>
      </c>
      <c r="D12" s="16" t="n">
        <v>0.1</v>
      </c>
      <c r="E12" s="16" t="n">
        <v>0.11</v>
      </c>
      <c r="F12" s="16" t="n">
        <v>0.14</v>
      </c>
      <c r="G12" s="16" t="n">
        <v>0.065</v>
      </c>
      <c r="H12" s="16" t="n">
        <v>0.12</v>
      </c>
      <c r="I12" s="16" t="n">
        <v>0.1</v>
      </c>
      <c r="J12" s="16" t="n">
        <v>0.145</v>
      </c>
      <c r="K12" s="16" t="n">
        <v>0.11</v>
      </c>
      <c r="L12" s="16" t="n">
        <v>0.1</v>
      </c>
      <c r="M12" s="16" t="n">
        <v>0.145</v>
      </c>
      <c r="N12" s="16" t="n">
        <v>0.135</v>
      </c>
      <c r="O12" s="16" t="n">
        <v>0.14</v>
      </c>
    </row>
    <row r="13" customFormat="false" ht="15" hidden="false" customHeight="false" outlineLevel="0" collapsed="false">
      <c r="A13" s="11" t="n">
        <v>2015</v>
      </c>
      <c r="B13" s="12" t="s">
        <v>73</v>
      </c>
      <c r="C13" s="13" t="n">
        <v>0.057</v>
      </c>
      <c r="D13" s="13" t="n">
        <v>0.09</v>
      </c>
      <c r="E13" s="13" t="n">
        <v>0.1</v>
      </c>
      <c r="F13" s="13" t="n">
        <v>0.13</v>
      </c>
      <c r="G13" s="13" t="n">
        <v>0.06</v>
      </c>
      <c r="H13" s="13" t="n">
        <v>0.115</v>
      </c>
      <c r="I13" s="13" t="n">
        <v>0.095</v>
      </c>
      <c r="J13" s="13" t="n">
        <v>0.14</v>
      </c>
      <c r="K13" s="13" t="n">
        <v>0.105</v>
      </c>
      <c r="L13" s="13" t="n">
        <v>0.095</v>
      </c>
      <c r="M13" s="13" t="n">
        <v>0.15</v>
      </c>
      <c r="N13" s="13" t="n">
        <v>0.14</v>
      </c>
      <c r="O13" s="13" t="n">
        <v>0.145</v>
      </c>
    </row>
    <row r="14" customFormat="false" ht="15" hidden="false" customHeight="false" outlineLevel="0" collapsed="false">
      <c r="A14" s="14" t="n">
        <v>2016</v>
      </c>
      <c r="B14" s="15" t="s">
        <v>74</v>
      </c>
      <c r="C14" s="16" t="n">
        <v>0.054</v>
      </c>
      <c r="D14" s="16" t="n">
        <v>0.085</v>
      </c>
      <c r="E14" s="16" t="n">
        <v>0.095</v>
      </c>
      <c r="F14" s="16" t="n">
        <v>0.125</v>
      </c>
      <c r="G14" s="16" t="n">
        <v>0.065</v>
      </c>
      <c r="H14" s="16" t="n">
        <v>0.11</v>
      </c>
      <c r="I14" s="16" t="n">
        <v>0.14</v>
      </c>
      <c r="J14" s="16" t="n">
        <v>0.14</v>
      </c>
      <c r="K14" s="16" t="n">
        <v>0.11</v>
      </c>
      <c r="L14" s="16" t="n">
        <v>0.09</v>
      </c>
      <c r="M14" s="16" t="n">
        <v>0.155</v>
      </c>
      <c r="N14" s="16" t="n">
        <v>0.145</v>
      </c>
      <c r="O14" s="16" t="n">
        <v>0.15</v>
      </c>
    </row>
    <row r="15" customFormat="false" ht="15" hidden="false" customHeight="false" outlineLevel="0" collapsed="false">
      <c r="A15" s="11" t="n">
        <v>2017</v>
      </c>
      <c r="B15" s="12" t="s">
        <v>75</v>
      </c>
      <c r="C15" s="13" t="n">
        <v>0.052</v>
      </c>
      <c r="D15" s="13" t="n">
        <v>0.08</v>
      </c>
      <c r="E15" s="13" t="n">
        <v>0.09</v>
      </c>
      <c r="F15" s="13" t="n">
        <v>0.12</v>
      </c>
      <c r="G15" s="13" t="n">
        <v>0.06</v>
      </c>
      <c r="H15" s="13" t="n">
        <v>0.105</v>
      </c>
      <c r="I15" s="13" t="n">
        <v>0.1</v>
      </c>
      <c r="J15" s="13" t="n">
        <v>0.135</v>
      </c>
      <c r="K15" s="13" t="n">
        <v>0.105</v>
      </c>
      <c r="L15" s="13" t="n">
        <v>0.095</v>
      </c>
      <c r="M15" s="13" t="n">
        <v>0.15</v>
      </c>
      <c r="N15" s="13" t="n">
        <v>0.145</v>
      </c>
      <c r="O15" s="13" t="n">
        <v>0.15</v>
      </c>
    </row>
    <row r="16" customFormat="false" ht="15" hidden="false" customHeight="false" outlineLevel="0" collapsed="false">
      <c r="A16" s="14" t="n">
        <v>2018</v>
      </c>
      <c r="B16" s="15" t="s">
        <v>76</v>
      </c>
      <c r="C16" s="16" t="n">
        <v>0.06</v>
      </c>
      <c r="D16" s="16" t="n">
        <v>0.09</v>
      </c>
      <c r="E16" s="16" t="n">
        <v>0.105</v>
      </c>
      <c r="F16" s="16" t="n">
        <v>0.14</v>
      </c>
      <c r="G16" s="16" t="n">
        <v>0.07</v>
      </c>
      <c r="H16" s="16" t="n">
        <v>0.12</v>
      </c>
      <c r="I16" s="16" t="n">
        <v>0.11</v>
      </c>
      <c r="J16" s="16" t="n">
        <v>0.15</v>
      </c>
      <c r="K16" s="16" t="n">
        <v>0.12</v>
      </c>
      <c r="L16" s="16" t="n">
        <v>0.105</v>
      </c>
      <c r="M16" s="16" t="n">
        <v>0.155</v>
      </c>
      <c r="N16" s="16" t="n">
        <v>0.15</v>
      </c>
      <c r="O16" s="16" t="n">
        <v>0.155</v>
      </c>
    </row>
    <row r="17" customFormat="false" ht="15" hidden="false" customHeight="false" outlineLevel="0" collapsed="false">
      <c r="A17" s="11" t="n">
        <v>2019</v>
      </c>
      <c r="B17" s="12" t="s">
        <v>77</v>
      </c>
      <c r="C17" s="13" t="n">
        <v>0.059</v>
      </c>
      <c r="D17" s="13" t="n">
        <v>0.095</v>
      </c>
      <c r="E17" s="13" t="n">
        <v>0.11</v>
      </c>
      <c r="F17" s="13" t="n">
        <v>0.15</v>
      </c>
      <c r="G17" s="13" t="n">
        <v>0.075</v>
      </c>
      <c r="H17" s="13" t="n">
        <v>0.125</v>
      </c>
      <c r="I17" s="13" t="n">
        <v>0.115</v>
      </c>
      <c r="J17" s="13" t="n">
        <v>0.155</v>
      </c>
      <c r="K17" s="13" t="n">
        <v>0.125</v>
      </c>
      <c r="L17" s="13" t="n">
        <v>0.11</v>
      </c>
      <c r="M17" s="13" t="n">
        <v>0.16</v>
      </c>
      <c r="N17" s="13" t="n">
        <v>0.155</v>
      </c>
      <c r="O17" s="13" t="n">
        <v>0.16</v>
      </c>
    </row>
    <row r="18" customFormat="false" ht="15" hidden="false" customHeight="false" outlineLevel="0" collapsed="false">
      <c r="A18" s="14" t="n">
        <v>2020</v>
      </c>
      <c r="B18" s="15" t="s">
        <v>78</v>
      </c>
      <c r="C18" s="16" t="n">
        <v>0.051</v>
      </c>
      <c r="D18" s="16" t="n">
        <v>0.05</v>
      </c>
      <c r="E18" s="16" t="n">
        <v>0.06</v>
      </c>
      <c r="F18" s="16" t="n">
        <v>0.08</v>
      </c>
      <c r="G18" s="16" t="n">
        <v>0.04</v>
      </c>
      <c r="H18" s="16" t="n">
        <v>0.065</v>
      </c>
      <c r="I18" s="16" t="n">
        <v>0.06</v>
      </c>
      <c r="J18" s="16" t="n">
        <v>0.08</v>
      </c>
      <c r="K18" s="16" t="n">
        <v>0.06</v>
      </c>
      <c r="L18" s="16" t="n">
        <v>0.055</v>
      </c>
      <c r="M18" s="16" t="n">
        <v>0.1</v>
      </c>
      <c r="N18" s="16" t="n">
        <v>0.09</v>
      </c>
      <c r="O18" s="16" t="n">
        <v>0.095</v>
      </c>
    </row>
    <row r="19" customFormat="false" ht="15" hidden="false" customHeight="false" outlineLevel="0" collapsed="false">
      <c r="A19" s="11" t="n">
        <v>2021</v>
      </c>
      <c r="B19" s="12" t="s">
        <v>79</v>
      </c>
      <c r="C19" s="13" t="n">
        <v>0.047</v>
      </c>
      <c r="D19" s="13" t="n">
        <v>0.04</v>
      </c>
      <c r="E19" s="13" t="n">
        <v>0.05</v>
      </c>
      <c r="F19" s="13" t="n">
        <v>0.06</v>
      </c>
      <c r="G19" s="13" t="n">
        <v>0.035</v>
      </c>
      <c r="H19" s="13" t="n">
        <v>0.055</v>
      </c>
      <c r="I19" s="13" t="n">
        <v>0.05</v>
      </c>
      <c r="J19" s="13" t="n">
        <v>0.07</v>
      </c>
      <c r="K19" s="13" t="n">
        <v>0.055</v>
      </c>
      <c r="L19" s="13" t="n">
        <v>0.045</v>
      </c>
      <c r="M19" s="13" t="n">
        <v>0.08</v>
      </c>
      <c r="N19" s="13" t="n">
        <v>0.08</v>
      </c>
      <c r="O19" s="13" t="n">
        <v>0.085</v>
      </c>
    </row>
    <row r="20" customFormat="false" ht="15" hidden="false" customHeight="false" outlineLevel="0" collapsed="false">
      <c r="A20" s="14" t="n">
        <v>2022</v>
      </c>
      <c r="B20" s="15" t="s">
        <v>80</v>
      </c>
      <c r="C20" s="16" t="n">
        <v>0.049</v>
      </c>
      <c r="D20" s="16" t="n">
        <v>0.09</v>
      </c>
      <c r="E20" s="16" t="n">
        <v>0.105</v>
      </c>
      <c r="F20" s="16" t="n">
        <v>0.13</v>
      </c>
      <c r="G20" s="16" t="n">
        <v>0.07</v>
      </c>
      <c r="H20" s="16" t="n">
        <v>0.115</v>
      </c>
      <c r="I20" s="16" t="n">
        <v>0.105</v>
      </c>
      <c r="J20" s="16" t="n">
        <v>0.14</v>
      </c>
      <c r="K20" s="16" t="n">
        <v>0.115</v>
      </c>
      <c r="L20" s="16" t="n">
        <v>0.105</v>
      </c>
      <c r="M20" s="16" t="n">
        <v>0.145</v>
      </c>
      <c r="N20" s="16" t="n">
        <v>0.14</v>
      </c>
      <c r="O20" s="16" t="n">
        <v>0.145</v>
      </c>
    </row>
    <row r="21" customFormat="false" ht="15" hidden="false" customHeight="false" outlineLevel="0" collapsed="false">
      <c r="A21" s="11" t="n">
        <v>2023</v>
      </c>
      <c r="B21" s="12" t="s">
        <v>81</v>
      </c>
      <c r="C21" s="13" t="n">
        <v>0.055</v>
      </c>
      <c r="D21" s="13" t="n">
        <v>0.1</v>
      </c>
      <c r="E21" s="13" t="n">
        <v>0.115</v>
      </c>
      <c r="F21" s="13" t="n">
        <v>0.15</v>
      </c>
      <c r="G21" s="13" t="n">
        <v>0.075</v>
      </c>
      <c r="H21" s="13" t="n">
        <v>0.125</v>
      </c>
      <c r="I21" s="13" t="n">
        <v>0.12</v>
      </c>
      <c r="J21" s="13" t="n">
        <v>0.16</v>
      </c>
      <c r="K21" s="13" t="n">
        <v>0.125</v>
      </c>
      <c r="L21" s="13" t="n">
        <v>0.115</v>
      </c>
      <c r="M21" s="13" t="n">
        <v>0.16</v>
      </c>
      <c r="N21" s="13" t="n">
        <v>0.155</v>
      </c>
      <c r="O21" s="13" t="n">
        <v>0.165</v>
      </c>
    </row>
    <row r="22" customFormat="false" ht="15" hidden="false" customHeight="false" outlineLevel="0" collapsed="false">
      <c r="A22" s="14" t="n">
        <v>2024</v>
      </c>
      <c r="B22" s="15" t="s">
        <v>82</v>
      </c>
      <c r="C22" s="16" t="n">
        <v>0.041</v>
      </c>
      <c r="D22" s="16" t="n">
        <v>0.085</v>
      </c>
      <c r="E22" s="16" t="n">
        <v>0.1</v>
      </c>
      <c r="F22" s="16" t="n">
        <v>0.135</v>
      </c>
      <c r="G22" s="16" t="n">
        <v>0.065</v>
      </c>
      <c r="H22" s="16" t="n">
        <v>0.11</v>
      </c>
      <c r="I22" s="16" t="n">
        <v>0.105</v>
      </c>
      <c r="J22" s="16" t="n">
        <v>0.145</v>
      </c>
      <c r="K22" s="16" t="n">
        <v>0.115</v>
      </c>
      <c r="L22" s="16" t="n">
        <v>0.1</v>
      </c>
      <c r="M22" s="16" t="n">
        <v>0.145</v>
      </c>
      <c r="N22" s="16" t="n">
        <v>0.14</v>
      </c>
      <c r="O22" s="16" t="n">
        <v>0.15</v>
      </c>
    </row>
    <row r="23" customFormat="false" ht="15" hidden="false" customHeight="false" outlineLevel="0" collapsed="false">
      <c r="A23" s="11" t="n">
        <v>2025</v>
      </c>
      <c r="B23" s="12" t="s">
        <v>83</v>
      </c>
      <c r="C23" s="13" t="n">
        <v>0.034</v>
      </c>
      <c r="D23" s="13" t="n">
        <v>0.07</v>
      </c>
      <c r="E23" s="13" t="n">
        <v>0.085</v>
      </c>
      <c r="F23" s="13" t="n">
        <v>0.11</v>
      </c>
      <c r="G23" s="13" t="n">
        <v>0.05</v>
      </c>
      <c r="H23" s="13" t="n">
        <v>0.09</v>
      </c>
      <c r="I23" s="13" t="n">
        <v>0.085</v>
      </c>
      <c r="J23" s="13" t="n">
        <v>0.12</v>
      </c>
      <c r="K23" s="13" t="n">
        <v>0.09</v>
      </c>
      <c r="L23" s="13" t="n">
        <v>0.08</v>
      </c>
      <c r="M23" s="13" t="n">
        <v>0.12</v>
      </c>
      <c r="N23" s="13" t="n">
        <v>0.115</v>
      </c>
      <c r="O23" s="13" t="n">
        <v>0.125</v>
      </c>
    </row>
    <row r="24" customFormat="false" ht="15" hidden="false" customHeight="false" outlineLevel="0" collapsed="false">
      <c r="A24" s="17" t="s">
        <v>84</v>
      </c>
      <c r="B24" s="17" t="s">
        <v>85</v>
      </c>
      <c r="C24" s="18" t="n">
        <f aca="false">AVERAGE(C3:C23)</f>
        <v>0.0830476190476191</v>
      </c>
      <c r="D24" s="18" t="n">
        <f aca="false">AVERAGE(D3:D23)</f>
        <v>0.0964285714285714</v>
      </c>
      <c r="E24" s="18" t="n">
        <f aca="false">AVERAGE(E3:E23)</f>
        <v>0.110238095238095</v>
      </c>
      <c r="F24" s="18" t="n">
        <f aca="false">AVERAGE(F3:F23)</f>
        <v>0.142857142857143</v>
      </c>
      <c r="G24" s="18" t="n">
        <f aca="false">AVERAGE(G3:G23)</f>
        <v>0.0669047619047619</v>
      </c>
      <c r="H24" s="18" t="n">
        <f aca="false">AVERAGE(H3:H23)</f>
        <v>0.11047619047619</v>
      </c>
      <c r="I24" s="18" t="n">
        <f aca="false">AVERAGE(I3:I23)</f>
        <v>0.102142857142857</v>
      </c>
      <c r="J24" s="18" t="n">
        <f aca="false">AVERAGE(J3:J23)</f>
        <v>0.135952380952381</v>
      </c>
      <c r="K24" s="18" t="n">
        <f aca="false">AVERAGE(K3:K23)</f>
        <v>0.108809523809524</v>
      </c>
      <c r="L24" s="18" t="n">
        <f aca="false">AVERAGE(L3:L23)</f>
        <v>0.10047619047619</v>
      </c>
      <c r="M24" s="18" t="n">
        <f aca="false">AVERAGE(M3:M23)</f>
        <v>0.14</v>
      </c>
      <c r="N24" s="18" t="n">
        <f aca="false">AVERAGE(N3:N23)</f>
        <v>0.132142857142857</v>
      </c>
      <c r="O24" s="18" t="n">
        <f aca="false">AVERAGE(O3:O23)</f>
        <v>0.137857142857143</v>
      </c>
    </row>
    <row r="26" customFormat="false" ht="15" hidden="false" customHeight="false" outlineLevel="0" collapsed="false">
      <c r="A26" s="19" t="s">
        <v>86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mergeCells count="2">
    <mergeCell ref="A1:P1"/>
    <mergeCell ref="A26:P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15" min="3" style="0" width="18"/>
  </cols>
  <sheetData>
    <row r="1" customFormat="false" ht="27.75" hidden="false" customHeight="true" outlineLevel="0" collapsed="false">
      <c r="A1" s="7" t="s">
        <v>87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39.75" hidden="false" customHeight="true" outlineLevel="0" collapsed="false">
      <c r="A2" s="9" t="s">
        <v>48</v>
      </c>
      <c r="B2" s="9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0" t="s">
        <v>58</v>
      </c>
      <c r="L2" s="10" t="s">
        <v>59</v>
      </c>
      <c r="M2" s="10" t="s">
        <v>60</v>
      </c>
      <c r="N2" s="10" t="s">
        <v>61</v>
      </c>
      <c r="O2" s="10" t="s">
        <v>62</v>
      </c>
    </row>
    <row r="3" customFormat="false" ht="15" hidden="false" customHeight="false" outlineLevel="0" collapsed="false">
      <c r="A3" s="11" t="n">
        <v>2005</v>
      </c>
      <c r="B3" s="12" t="s">
        <v>63</v>
      </c>
      <c r="C3" s="20" t="n">
        <v>100</v>
      </c>
      <c r="D3" s="20" t="n">
        <v>100</v>
      </c>
      <c r="E3" s="20" t="n">
        <v>100</v>
      </c>
      <c r="F3" s="20" t="n">
        <v>100</v>
      </c>
      <c r="G3" s="20" t="n">
        <v>100</v>
      </c>
      <c r="H3" s="20" t="n">
        <v>100</v>
      </c>
      <c r="I3" s="20" t="n">
        <v>100</v>
      </c>
      <c r="J3" s="20" t="n">
        <v>100</v>
      </c>
      <c r="K3" s="20" t="n">
        <v>100</v>
      </c>
      <c r="L3" s="20" t="n">
        <v>100</v>
      </c>
      <c r="M3" s="20" t="n">
        <v>100</v>
      </c>
      <c r="N3" s="20" t="n">
        <v>100</v>
      </c>
      <c r="O3" s="20" t="n">
        <v>100</v>
      </c>
    </row>
    <row r="4" customFormat="false" ht="15" hidden="false" customHeight="false" outlineLevel="0" collapsed="false">
      <c r="A4" s="14" t="n">
        <v>2006</v>
      </c>
      <c r="B4" s="15" t="s">
        <v>64</v>
      </c>
      <c r="C4" s="21" t="n">
        <v>112.8</v>
      </c>
      <c r="D4" s="21" t="n">
        <v>111.5</v>
      </c>
      <c r="E4" s="21" t="n">
        <v>113</v>
      </c>
      <c r="F4" s="21" t="n">
        <v>116.5</v>
      </c>
      <c r="G4" s="21" t="n">
        <v>107.5</v>
      </c>
      <c r="H4" s="21" t="n">
        <v>111.5</v>
      </c>
      <c r="I4" s="21" t="n">
        <v>110</v>
      </c>
      <c r="J4" s="21" t="n">
        <v>113.5</v>
      </c>
      <c r="K4" s="21" t="n">
        <v>111</v>
      </c>
      <c r="L4" s="21" t="n">
        <v>111</v>
      </c>
      <c r="M4" s="21" t="n">
        <v>113.5</v>
      </c>
      <c r="N4" s="21" t="n">
        <v>112.5</v>
      </c>
      <c r="O4" s="21" t="n">
        <v>113</v>
      </c>
    </row>
    <row r="5" customFormat="false" ht="15" hidden="false" customHeight="false" outlineLevel="0" collapsed="false">
      <c r="A5" s="11" t="n">
        <v>2007</v>
      </c>
      <c r="B5" s="12" t="s">
        <v>65</v>
      </c>
      <c r="C5" s="20" t="n">
        <v>128.8</v>
      </c>
      <c r="D5" s="20" t="n">
        <v>124.9</v>
      </c>
      <c r="E5" s="20" t="n">
        <v>128.8</v>
      </c>
      <c r="F5" s="20" t="n">
        <v>137.5</v>
      </c>
      <c r="G5" s="20" t="n">
        <v>116.1</v>
      </c>
      <c r="H5" s="20" t="n">
        <v>125.4</v>
      </c>
      <c r="I5" s="20" t="n">
        <v>122.1</v>
      </c>
      <c r="J5" s="20" t="n">
        <v>130</v>
      </c>
      <c r="K5" s="20" t="n">
        <v>124.3</v>
      </c>
      <c r="L5" s="20" t="n">
        <v>124.3</v>
      </c>
      <c r="M5" s="20" t="n">
        <v>130</v>
      </c>
      <c r="N5" s="20" t="n">
        <v>127.7</v>
      </c>
      <c r="O5" s="20" t="n">
        <v>128.8</v>
      </c>
    </row>
    <row r="6" customFormat="false" ht="15" hidden="false" customHeight="false" outlineLevel="0" collapsed="false">
      <c r="A6" s="14" t="n">
        <v>2008</v>
      </c>
      <c r="B6" s="15" t="s">
        <v>66</v>
      </c>
      <c r="C6" s="21" t="n">
        <v>146.2</v>
      </c>
      <c r="D6" s="21" t="n">
        <v>141.1</v>
      </c>
      <c r="E6" s="21" t="n">
        <v>147.5</v>
      </c>
      <c r="F6" s="21" t="n">
        <v>162.9</v>
      </c>
      <c r="G6" s="21" t="n">
        <v>126</v>
      </c>
      <c r="H6" s="21" t="n">
        <v>141.7</v>
      </c>
      <c r="I6" s="21" t="n">
        <v>136.8</v>
      </c>
      <c r="J6" s="21" t="n">
        <v>150.1</v>
      </c>
      <c r="K6" s="21" t="n">
        <v>140.5</v>
      </c>
      <c r="L6" s="21" t="n">
        <v>139.9</v>
      </c>
      <c r="M6" s="21" t="n">
        <v>150.1</v>
      </c>
      <c r="N6" s="21" t="n">
        <v>146.2</v>
      </c>
      <c r="O6" s="21" t="n">
        <v>148.1</v>
      </c>
    </row>
    <row r="7" customFormat="false" ht="15" hidden="false" customHeight="false" outlineLevel="0" collapsed="false">
      <c r="A7" s="11" t="n">
        <v>2009</v>
      </c>
      <c r="B7" s="12" t="s">
        <v>67</v>
      </c>
      <c r="C7" s="20" t="n">
        <v>165.2</v>
      </c>
      <c r="D7" s="20" t="n">
        <v>158.8</v>
      </c>
      <c r="E7" s="20" t="n">
        <v>168.1</v>
      </c>
      <c r="F7" s="20" t="n">
        <v>192.2</v>
      </c>
      <c r="G7" s="20" t="n">
        <v>136</v>
      </c>
      <c r="H7" s="20" t="n">
        <v>159.5</v>
      </c>
      <c r="I7" s="20" t="n">
        <v>152.5</v>
      </c>
      <c r="J7" s="20" t="n">
        <v>172.6</v>
      </c>
      <c r="K7" s="20" t="n">
        <v>158</v>
      </c>
      <c r="L7" s="20" t="n">
        <v>156.6</v>
      </c>
      <c r="M7" s="20" t="n">
        <v>172.6</v>
      </c>
      <c r="N7" s="20" t="n">
        <v>166.7</v>
      </c>
      <c r="O7" s="20" t="n">
        <v>169.6</v>
      </c>
    </row>
    <row r="8" customFormat="false" ht="15" hidden="false" customHeight="false" outlineLevel="0" collapsed="false">
      <c r="A8" s="14" t="n">
        <v>2010</v>
      </c>
      <c r="B8" s="15" t="s">
        <v>68</v>
      </c>
      <c r="C8" s="21" t="n">
        <v>185.9</v>
      </c>
      <c r="D8" s="21" t="n">
        <v>177.8</v>
      </c>
      <c r="E8" s="21" t="n">
        <v>190.8</v>
      </c>
      <c r="F8" s="21" t="n">
        <v>225.9</v>
      </c>
      <c r="G8" s="21" t="n">
        <v>146.2</v>
      </c>
      <c r="H8" s="21" t="n">
        <v>178.6</v>
      </c>
      <c r="I8" s="21" t="n">
        <v>169.3</v>
      </c>
      <c r="J8" s="21" t="n">
        <v>197.6</v>
      </c>
      <c r="K8" s="21" t="n">
        <v>177</v>
      </c>
      <c r="L8" s="21" t="n">
        <v>174.7</v>
      </c>
      <c r="M8" s="21" t="n">
        <v>197.6</v>
      </c>
      <c r="N8" s="21" t="n">
        <v>189.2</v>
      </c>
      <c r="O8" s="21" t="n">
        <v>193.4</v>
      </c>
    </row>
    <row r="9" customFormat="false" ht="15" hidden="false" customHeight="false" outlineLevel="0" collapsed="false">
      <c r="A9" s="11" t="n">
        <v>2011</v>
      </c>
      <c r="B9" s="12" t="s">
        <v>69</v>
      </c>
      <c r="C9" s="20" t="n">
        <v>207.8</v>
      </c>
      <c r="D9" s="20" t="n">
        <v>198.3</v>
      </c>
      <c r="E9" s="20" t="n">
        <v>215.7</v>
      </c>
      <c r="F9" s="20" t="n">
        <v>264.3</v>
      </c>
      <c r="G9" s="20" t="n">
        <v>156.5</v>
      </c>
      <c r="H9" s="20" t="n">
        <v>199.1</v>
      </c>
      <c r="I9" s="20" t="n">
        <v>187</v>
      </c>
      <c r="J9" s="20" t="n">
        <v>225.3</v>
      </c>
      <c r="K9" s="20" t="n">
        <v>197.4</v>
      </c>
      <c r="L9" s="20" t="n">
        <v>193.9</v>
      </c>
      <c r="M9" s="20" t="n">
        <v>225.3</v>
      </c>
      <c r="N9" s="20" t="n">
        <v>213.8</v>
      </c>
      <c r="O9" s="20" t="n">
        <v>219.5</v>
      </c>
    </row>
    <row r="10" customFormat="false" ht="15" hidden="false" customHeight="false" outlineLevel="0" collapsed="false">
      <c r="A10" s="14" t="n">
        <v>2012</v>
      </c>
      <c r="B10" s="15" t="s">
        <v>70</v>
      </c>
      <c r="C10" s="21" t="n">
        <v>229.6</v>
      </c>
      <c r="D10" s="21" t="n">
        <v>220.1</v>
      </c>
      <c r="E10" s="21" t="n">
        <v>242.6</v>
      </c>
      <c r="F10" s="21" t="n">
        <v>306.5</v>
      </c>
      <c r="G10" s="21" t="n">
        <v>167.4</v>
      </c>
      <c r="H10" s="21" t="n">
        <v>221</v>
      </c>
      <c r="I10" s="21" t="n">
        <v>205.7</v>
      </c>
      <c r="J10" s="21" t="n">
        <v>255.7</v>
      </c>
      <c r="K10" s="21" t="n">
        <v>219.1</v>
      </c>
      <c r="L10" s="21" t="n">
        <v>214.2</v>
      </c>
      <c r="M10" s="21" t="n">
        <v>255.7</v>
      </c>
      <c r="N10" s="21" t="n">
        <v>240.5</v>
      </c>
      <c r="O10" s="21" t="n">
        <v>248</v>
      </c>
    </row>
    <row r="11" customFormat="false" ht="15" hidden="false" customHeight="false" outlineLevel="0" collapsed="false">
      <c r="A11" s="11" t="n">
        <v>2013</v>
      </c>
      <c r="B11" s="12" t="s">
        <v>71</v>
      </c>
      <c r="C11" s="20" t="n">
        <v>252.1</v>
      </c>
      <c r="D11" s="20" t="n">
        <v>243.2</v>
      </c>
      <c r="E11" s="20" t="n">
        <v>271.7</v>
      </c>
      <c r="F11" s="20" t="n">
        <v>354.1</v>
      </c>
      <c r="G11" s="20" t="n">
        <v>179.2</v>
      </c>
      <c r="H11" s="20" t="n">
        <v>246.5</v>
      </c>
      <c r="I11" s="20" t="n">
        <v>227.3</v>
      </c>
      <c r="J11" s="20" t="n">
        <v>291.5</v>
      </c>
      <c r="K11" s="20" t="n">
        <v>244.3</v>
      </c>
      <c r="L11" s="20" t="n">
        <v>236.7</v>
      </c>
      <c r="M11" s="20" t="n">
        <v>291.5</v>
      </c>
      <c r="N11" s="20" t="n">
        <v>271.7</v>
      </c>
      <c r="O11" s="20" t="n">
        <v>281.5</v>
      </c>
    </row>
    <row r="12" customFormat="false" ht="15" hidden="false" customHeight="false" outlineLevel="0" collapsed="false">
      <c r="A12" s="14" t="n">
        <v>2014</v>
      </c>
      <c r="B12" s="15" t="s">
        <v>72</v>
      </c>
      <c r="C12" s="21" t="n">
        <v>274.6</v>
      </c>
      <c r="D12" s="21" t="n">
        <v>267.5</v>
      </c>
      <c r="E12" s="21" t="n">
        <v>301.6</v>
      </c>
      <c r="F12" s="21" t="n">
        <v>403.6</v>
      </c>
      <c r="G12" s="21" t="n">
        <v>190.8</v>
      </c>
      <c r="H12" s="21" t="n">
        <v>276</v>
      </c>
      <c r="I12" s="21" t="n">
        <v>250.1</v>
      </c>
      <c r="J12" s="21" t="n">
        <v>333.8</v>
      </c>
      <c r="K12" s="21" t="n">
        <v>271.1</v>
      </c>
      <c r="L12" s="21" t="n">
        <v>260.4</v>
      </c>
      <c r="M12" s="21" t="n">
        <v>333.8</v>
      </c>
      <c r="N12" s="21" t="n">
        <v>308.4</v>
      </c>
      <c r="O12" s="21" t="n">
        <v>320.9</v>
      </c>
    </row>
    <row r="13" customFormat="false" ht="15" hidden="false" customHeight="false" outlineLevel="0" collapsed="false">
      <c r="A13" s="11" t="n">
        <v>2015</v>
      </c>
      <c r="B13" s="12" t="s">
        <v>73</v>
      </c>
      <c r="C13" s="20" t="n">
        <v>290.2</v>
      </c>
      <c r="D13" s="20" t="n">
        <v>291.6</v>
      </c>
      <c r="E13" s="20" t="n">
        <v>331.8</v>
      </c>
      <c r="F13" s="20" t="n">
        <v>456.1</v>
      </c>
      <c r="G13" s="20" t="n">
        <v>202.3</v>
      </c>
      <c r="H13" s="20" t="n">
        <v>307.8</v>
      </c>
      <c r="I13" s="20" t="n">
        <v>273.8</v>
      </c>
      <c r="J13" s="20" t="n">
        <v>380.5</v>
      </c>
      <c r="K13" s="20" t="n">
        <v>299.6</v>
      </c>
      <c r="L13" s="20" t="n">
        <v>285.1</v>
      </c>
      <c r="M13" s="20" t="n">
        <v>383.9</v>
      </c>
      <c r="N13" s="20" t="n">
        <v>351.6</v>
      </c>
      <c r="O13" s="20" t="n">
        <v>367.4</v>
      </c>
    </row>
    <row r="14" customFormat="false" ht="15" hidden="false" customHeight="false" outlineLevel="0" collapsed="false">
      <c r="A14" s="14" t="n">
        <v>2016</v>
      </c>
      <c r="B14" s="15" t="s">
        <v>74</v>
      </c>
      <c r="C14" s="21" t="n">
        <v>305.9</v>
      </c>
      <c r="D14" s="21" t="n">
        <v>316.3</v>
      </c>
      <c r="E14" s="21" t="n">
        <v>363.3</v>
      </c>
      <c r="F14" s="21" t="n">
        <v>513.1</v>
      </c>
      <c r="G14" s="21" t="n">
        <v>215.4</v>
      </c>
      <c r="H14" s="21" t="n">
        <v>341.6</v>
      </c>
      <c r="I14" s="21" t="n">
        <v>312.1</v>
      </c>
      <c r="J14" s="21" t="n">
        <v>433.8</v>
      </c>
      <c r="K14" s="21" t="n">
        <v>332.6</v>
      </c>
      <c r="L14" s="21" t="n">
        <v>310.8</v>
      </c>
      <c r="M14" s="21" t="n">
        <v>443.4</v>
      </c>
      <c r="N14" s="21" t="n">
        <v>402.6</v>
      </c>
      <c r="O14" s="21" t="n">
        <v>422.5</v>
      </c>
    </row>
    <row r="15" customFormat="false" ht="15" hidden="false" customHeight="false" outlineLevel="0" collapsed="false">
      <c r="A15" s="11" t="n">
        <v>2017</v>
      </c>
      <c r="B15" s="12" t="s">
        <v>75</v>
      </c>
      <c r="C15" s="20" t="n">
        <v>321.8</v>
      </c>
      <c r="D15" s="20" t="n">
        <v>341.6</v>
      </c>
      <c r="E15" s="20" t="n">
        <v>396</v>
      </c>
      <c r="F15" s="20" t="n">
        <v>574.7</v>
      </c>
      <c r="G15" s="20" t="n">
        <v>228.3</v>
      </c>
      <c r="H15" s="20" t="n">
        <v>377.5</v>
      </c>
      <c r="I15" s="20" t="n">
        <v>343.4</v>
      </c>
      <c r="J15" s="20" t="n">
        <v>492.4</v>
      </c>
      <c r="K15" s="20" t="n">
        <v>367.5</v>
      </c>
      <c r="L15" s="20" t="n">
        <v>340.3</v>
      </c>
      <c r="M15" s="20" t="n">
        <v>509.9</v>
      </c>
      <c r="N15" s="20" t="n">
        <v>461</v>
      </c>
      <c r="O15" s="20" t="n">
        <v>485.9</v>
      </c>
    </row>
    <row r="16" customFormat="false" ht="15" hidden="false" customHeight="false" outlineLevel="0" collapsed="false">
      <c r="A16" s="14" t="n">
        <v>2018</v>
      </c>
      <c r="B16" s="15" t="s">
        <v>76</v>
      </c>
      <c r="C16" s="21" t="n">
        <v>341.1</v>
      </c>
      <c r="D16" s="21" t="n">
        <v>372.4</v>
      </c>
      <c r="E16" s="21" t="n">
        <v>437.6</v>
      </c>
      <c r="F16" s="21" t="n">
        <v>655.1</v>
      </c>
      <c r="G16" s="21" t="n">
        <v>244.3</v>
      </c>
      <c r="H16" s="21" t="n">
        <v>422.8</v>
      </c>
      <c r="I16" s="21" t="n">
        <v>381.1</v>
      </c>
      <c r="J16" s="21" t="n">
        <v>566.2</v>
      </c>
      <c r="K16" s="21" t="n">
        <v>411.6</v>
      </c>
      <c r="L16" s="21" t="n">
        <v>376</v>
      </c>
      <c r="M16" s="21" t="n">
        <v>588.9</v>
      </c>
      <c r="N16" s="21" t="n">
        <v>530.1</v>
      </c>
      <c r="O16" s="21" t="n">
        <v>561.2</v>
      </c>
    </row>
    <row r="17" customFormat="false" ht="15" hidden="false" customHeight="false" outlineLevel="0" collapsed="false">
      <c r="A17" s="11" t="n">
        <v>2019</v>
      </c>
      <c r="B17" s="12" t="s">
        <v>77</v>
      </c>
      <c r="C17" s="20" t="n">
        <v>361.2</v>
      </c>
      <c r="D17" s="20" t="n">
        <v>407.8</v>
      </c>
      <c r="E17" s="20" t="n">
        <v>485.7</v>
      </c>
      <c r="F17" s="20" t="n">
        <v>753.4</v>
      </c>
      <c r="G17" s="20" t="n">
        <v>262.6</v>
      </c>
      <c r="H17" s="20" t="n">
        <v>475.7</v>
      </c>
      <c r="I17" s="20" t="n">
        <v>425</v>
      </c>
      <c r="J17" s="20" t="n">
        <v>654</v>
      </c>
      <c r="K17" s="20" t="n">
        <v>463</v>
      </c>
      <c r="L17" s="20" t="n">
        <v>417.4</v>
      </c>
      <c r="M17" s="20" t="n">
        <v>683.1</v>
      </c>
      <c r="N17" s="20" t="n">
        <v>612.3</v>
      </c>
      <c r="O17" s="20" t="n">
        <v>651</v>
      </c>
    </row>
    <row r="18" customFormat="false" ht="15" hidden="false" customHeight="false" outlineLevel="0" collapsed="false">
      <c r="A18" s="14" t="n">
        <v>2020</v>
      </c>
      <c r="B18" s="15" t="s">
        <v>78</v>
      </c>
      <c r="C18" s="21" t="n">
        <v>379.6</v>
      </c>
      <c r="D18" s="21" t="n">
        <v>428.2</v>
      </c>
      <c r="E18" s="21" t="n">
        <v>514.9</v>
      </c>
      <c r="F18" s="21" t="n">
        <v>813.7</v>
      </c>
      <c r="G18" s="21" t="n">
        <v>273.1</v>
      </c>
      <c r="H18" s="21" t="n">
        <v>506.6</v>
      </c>
      <c r="I18" s="21" t="n">
        <v>450.5</v>
      </c>
      <c r="J18" s="21" t="n">
        <v>706.3</v>
      </c>
      <c r="K18" s="21" t="n">
        <v>490.8</v>
      </c>
      <c r="L18" s="21" t="n">
        <v>440.4</v>
      </c>
      <c r="M18" s="21" t="n">
        <v>751.5</v>
      </c>
      <c r="N18" s="21" t="n">
        <v>667.4</v>
      </c>
      <c r="O18" s="21" t="n">
        <v>712.9</v>
      </c>
    </row>
    <row r="19" customFormat="false" ht="15" hidden="false" customHeight="false" outlineLevel="0" collapsed="false">
      <c r="A19" s="11" t="n">
        <v>2021</v>
      </c>
      <c r="B19" s="12" t="s">
        <v>79</v>
      </c>
      <c r="C19" s="20" t="n">
        <v>397.5</v>
      </c>
      <c r="D19" s="20" t="n">
        <v>445.3</v>
      </c>
      <c r="E19" s="20" t="n">
        <v>540.6</v>
      </c>
      <c r="F19" s="20" t="n">
        <v>862.5</v>
      </c>
      <c r="G19" s="20" t="n">
        <v>282.7</v>
      </c>
      <c r="H19" s="20" t="n">
        <v>534.4</v>
      </c>
      <c r="I19" s="20" t="n">
        <v>473</v>
      </c>
      <c r="J19" s="20" t="n">
        <v>755.8</v>
      </c>
      <c r="K19" s="20" t="n">
        <v>517.8</v>
      </c>
      <c r="L19" s="20" t="n">
        <v>460.2</v>
      </c>
      <c r="M19" s="20" t="n">
        <v>811.6</v>
      </c>
      <c r="N19" s="20" t="n">
        <v>720.8</v>
      </c>
      <c r="O19" s="20" t="n">
        <v>773.5</v>
      </c>
    </row>
    <row r="20" customFormat="false" ht="15" hidden="false" customHeight="false" outlineLevel="0" collapsed="false">
      <c r="A20" s="14" t="n">
        <v>2022</v>
      </c>
      <c r="B20" s="15" t="s">
        <v>80</v>
      </c>
      <c r="C20" s="21" t="n">
        <v>417</v>
      </c>
      <c r="D20" s="21" t="n">
        <v>485.4</v>
      </c>
      <c r="E20" s="21" t="n">
        <v>597.4</v>
      </c>
      <c r="F20" s="21" t="n">
        <v>974.6</v>
      </c>
      <c r="G20" s="21" t="n">
        <v>302.5</v>
      </c>
      <c r="H20" s="21" t="n">
        <v>595.9</v>
      </c>
      <c r="I20" s="21" t="n">
        <v>522.6</v>
      </c>
      <c r="J20" s="21" t="n">
        <v>861.6</v>
      </c>
      <c r="K20" s="21" t="n">
        <v>577.3</v>
      </c>
      <c r="L20" s="21" t="n">
        <v>508.5</v>
      </c>
      <c r="M20" s="21" t="n">
        <v>929.3</v>
      </c>
      <c r="N20" s="21" t="n">
        <v>821.7</v>
      </c>
      <c r="O20" s="21" t="n">
        <v>885.6</v>
      </c>
    </row>
    <row r="21" customFormat="false" ht="15" hidden="false" customHeight="false" outlineLevel="0" collapsed="false">
      <c r="A21" s="11" t="n">
        <v>2023</v>
      </c>
      <c r="B21" s="12" t="s">
        <v>81</v>
      </c>
      <c r="C21" s="20" t="n">
        <v>439.9</v>
      </c>
      <c r="D21" s="20" t="n">
        <v>533.9</v>
      </c>
      <c r="E21" s="20" t="n">
        <v>666.1</v>
      </c>
      <c r="F21" s="20" t="n">
        <v>1120.8</v>
      </c>
      <c r="G21" s="20" t="n">
        <v>325.2</v>
      </c>
      <c r="H21" s="20" t="n">
        <v>670.4</v>
      </c>
      <c r="I21" s="20" t="n">
        <v>585.4</v>
      </c>
      <c r="J21" s="20" t="n">
        <v>999.4</v>
      </c>
      <c r="K21" s="20" t="n">
        <v>649.5</v>
      </c>
      <c r="L21" s="20" t="n">
        <v>567</v>
      </c>
      <c r="M21" s="20" t="n">
        <v>1077.9</v>
      </c>
      <c r="N21" s="20" t="n">
        <v>949.1</v>
      </c>
      <c r="O21" s="20" t="n">
        <v>1031.8</v>
      </c>
    </row>
    <row r="22" customFormat="false" ht="15" hidden="false" customHeight="false" outlineLevel="0" collapsed="false">
      <c r="A22" s="14" t="n">
        <v>2024</v>
      </c>
      <c r="B22" s="15" t="s">
        <v>82</v>
      </c>
      <c r="C22" s="21" t="n">
        <v>457.9</v>
      </c>
      <c r="D22" s="21" t="n">
        <v>579.3</v>
      </c>
      <c r="E22" s="21" t="n">
        <v>732.7</v>
      </c>
      <c r="F22" s="21" t="n">
        <v>1272.1</v>
      </c>
      <c r="G22" s="21" t="n">
        <v>346.3</v>
      </c>
      <c r="H22" s="21" t="n">
        <v>744.1</v>
      </c>
      <c r="I22" s="21" t="n">
        <v>646.8</v>
      </c>
      <c r="J22" s="21" t="n">
        <v>1144.4</v>
      </c>
      <c r="K22" s="21" t="n">
        <v>724.2</v>
      </c>
      <c r="L22" s="21" t="n">
        <v>623.7</v>
      </c>
      <c r="M22" s="21" t="n">
        <v>1234.2</v>
      </c>
      <c r="N22" s="21" t="n">
        <v>1081.9</v>
      </c>
      <c r="O22" s="21" t="n">
        <v>1186.5</v>
      </c>
    </row>
    <row r="23" customFormat="false" ht="15" hidden="false" customHeight="false" outlineLevel="0" collapsed="false">
      <c r="A23" s="11" t="n">
        <v>2025</v>
      </c>
      <c r="B23" s="12" t="s">
        <v>83</v>
      </c>
      <c r="C23" s="20" t="n">
        <v>473.5</v>
      </c>
      <c r="D23" s="20" t="n">
        <v>619.8</v>
      </c>
      <c r="E23" s="20" t="n">
        <v>794.9</v>
      </c>
      <c r="F23" s="20" t="n">
        <v>1412.1</v>
      </c>
      <c r="G23" s="20" t="n">
        <v>363.6</v>
      </c>
      <c r="H23" s="20" t="n">
        <v>811.1</v>
      </c>
      <c r="I23" s="20" t="n">
        <v>701.8</v>
      </c>
      <c r="J23" s="20" t="n">
        <v>1281.7</v>
      </c>
      <c r="K23" s="20" t="n">
        <v>789.4</v>
      </c>
      <c r="L23" s="20" t="n">
        <v>673.6</v>
      </c>
      <c r="M23" s="20" t="n">
        <v>1382.4</v>
      </c>
      <c r="N23" s="20" t="n">
        <v>1206.3</v>
      </c>
      <c r="O23" s="20" t="n">
        <v>1334.9</v>
      </c>
    </row>
    <row r="25" customFormat="false" ht="15" hidden="false" customHeight="false" outlineLevel="0" collapsed="false">
      <c r="A25" s="19" t="s">
        <v>88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</sheetData>
  <mergeCells count="2">
    <mergeCell ref="A1:P1"/>
    <mergeCell ref="A25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15" min="3" style="0" width="20"/>
  </cols>
  <sheetData>
    <row r="1" customFormat="false" ht="27.75" hidden="false" customHeight="true" outlineLevel="0" collapsed="false">
      <c r="A1" s="7" t="s">
        <v>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customFormat="false" ht="39.75" hidden="false" customHeight="true" outlineLevel="0" collapsed="false">
      <c r="A2" s="9" t="s">
        <v>48</v>
      </c>
      <c r="B2" s="9" t="s">
        <v>49</v>
      </c>
      <c r="C2" s="10" t="s">
        <v>50</v>
      </c>
      <c r="D2" s="10" t="s">
        <v>51</v>
      </c>
      <c r="E2" s="10" t="s">
        <v>52</v>
      </c>
      <c r="F2" s="10" t="s">
        <v>53</v>
      </c>
      <c r="G2" s="10" t="s">
        <v>54</v>
      </c>
      <c r="H2" s="10" t="s">
        <v>55</v>
      </c>
      <c r="I2" s="10" t="s">
        <v>56</v>
      </c>
      <c r="J2" s="10" t="s">
        <v>57</v>
      </c>
      <c r="K2" s="10" t="s">
        <v>58</v>
      </c>
      <c r="L2" s="10" t="s">
        <v>59</v>
      </c>
      <c r="M2" s="10" t="s">
        <v>60</v>
      </c>
      <c r="N2" s="10" t="s">
        <v>61</v>
      </c>
      <c r="O2" s="10" t="s">
        <v>62</v>
      </c>
    </row>
    <row r="3" customFormat="false" ht="15" hidden="false" customHeight="false" outlineLevel="0" collapsed="false">
      <c r="A3" s="11" t="n">
        <v>2005</v>
      </c>
      <c r="B3" s="12" t="s">
        <v>63</v>
      </c>
      <c r="C3" s="22" t="s">
        <v>90</v>
      </c>
      <c r="D3" s="23" t="n">
        <v>15000</v>
      </c>
      <c r="E3" s="23" t="n">
        <v>45000</v>
      </c>
      <c r="F3" s="23" t="n">
        <v>150000</v>
      </c>
      <c r="G3" s="23" t="n">
        <v>10000</v>
      </c>
      <c r="H3" s="23" t="n">
        <v>50000</v>
      </c>
      <c r="I3" s="23" t="n">
        <v>50000</v>
      </c>
      <c r="J3" s="23" t="n">
        <v>500000</v>
      </c>
      <c r="K3" s="23" t="n">
        <v>150000</v>
      </c>
      <c r="L3" s="23" t="n">
        <v>8000</v>
      </c>
      <c r="M3" s="23" t="n">
        <v>30000</v>
      </c>
      <c r="N3" s="23" t="n">
        <v>25000</v>
      </c>
      <c r="O3" s="23" t="n">
        <v>20000</v>
      </c>
    </row>
    <row r="4" customFormat="false" ht="15" hidden="false" customHeight="false" outlineLevel="0" collapsed="false">
      <c r="A4" s="14" t="n">
        <v>2006</v>
      </c>
      <c r="B4" s="15" t="s">
        <v>64</v>
      </c>
      <c r="C4" s="22" t="s">
        <v>90</v>
      </c>
      <c r="D4" s="24" t="n">
        <v>16725</v>
      </c>
      <c r="E4" s="24" t="n">
        <v>50850</v>
      </c>
      <c r="F4" s="24" t="n">
        <v>174750</v>
      </c>
      <c r="G4" s="24" t="n">
        <v>10750</v>
      </c>
      <c r="H4" s="24" t="n">
        <v>55750</v>
      </c>
      <c r="I4" s="24" t="n">
        <v>55000</v>
      </c>
      <c r="J4" s="24" t="n">
        <v>567500</v>
      </c>
      <c r="K4" s="24" t="n">
        <v>166500</v>
      </c>
      <c r="L4" s="24" t="n">
        <v>8880</v>
      </c>
      <c r="M4" s="24" t="n">
        <v>34050</v>
      </c>
      <c r="N4" s="24" t="n">
        <v>28125</v>
      </c>
      <c r="O4" s="24" t="n">
        <v>22600</v>
      </c>
    </row>
    <row r="5" customFormat="false" ht="15" hidden="false" customHeight="false" outlineLevel="0" collapsed="false">
      <c r="A5" s="11" t="n">
        <v>2007</v>
      </c>
      <c r="B5" s="12" t="s">
        <v>65</v>
      </c>
      <c r="C5" s="22" t="s">
        <v>90</v>
      </c>
      <c r="D5" s="23" t="n">
        <v>18732</v>
      </c>
      <c r="E5" s="23" t="n">
        <v>57969</v>
      </c>
      <c r="F5" s="23" t="n">
        <v>206205</v>
      </c>
      <c r="G5" s="23" t="n">
        <v>11610</v>
      </c>
      <c r="H5" s="23" t="n">
        <v>62719</v>
      </c>
      <c r="I5" s="23" t="n">
        <v>61050</v>
      </c>
      <c r="J5" s="23" t="n">
        <v>649788</v>
      </c>
      <c r="K5" s="23" t="n">
        <v>186480</v>
      </c>
      <c r="L5" s="23" t="n">
        <v>9946</v>
      </c>
      <c r="M5" s="23" t="n">
        <v>38987</v>
      </c>
      <c r="N5" s="23" t="n">
        <v>31922</v>
      </c>
      <c r="O5" s="23" t="n">
        <v>25764</v>
      </c>
    </row>
    <row r="6" customFormat="false" ht="15" hidden="false" customHeight="false" outlineLevel="0" collapsed="false">
      <c r="A6" s="14" t="n">
        <v>2008</v>
      </c>
      <c r="B6" s="15" t="s">
        <v>66</v>
      </c>
      <c r="C6" s="22" t="s">
        <v>90</v>
      </c>
      <c r="D6" s="24" t="n">
        <v>21167</v>
      </c>
      <c r="E6" s="24" t="n">
        <v>66375</v>
      </c>
      <c r="F6" s="24" t="n">
        <v>244353</v>
      </c>
      <c r="G6" s="24" t="n">
        <v>12597</v>
      </c>
      <c r="H6" s="24" t="n">
        <v>70872</v>
      </c>
      <c r="I6" s="24" t="n">
        <v>68376</v>
      </c>
      <c r="J6" s="24" t="n">
        <v>750505</v>
      </c>
      <c r="K6" s="24" t="n">
        <v>210722</v>
      </c>
      <c r="L6" s="24" t="n">
        <v>11189</v>
      </c>
      <c r="M6" s="24" t="n">
        <v>45030</v>
      </c>
      <c r="N6" s="24" t="n">
        <v>36551</v>
      </c>
      <c r="O6" s="24" t="n">
        <v>29629</v>
      </c>
    </row>
    <row r="7" customFormat="false" ht="15" hidden="false" customHeight="false" outlineLevel="0" collapsed="false">
      <c r="A7" s="11" t="n">
        <v>2009</v>
      </c>
      <c r="B7" s="12" t="s">
        <v>67</v>
      </c>
      <c r="C7" s="22" t="s">
        <v>90</v>
      </c>
      <c r="D7" s="23" t="n">
        <v>23813</v>
      </c>
      <c r="E7" s="23" t="n">
        <v>75667</v>
      </c>
      <c r="F7" s="23" t="n">
        <v>288336</v>
      </c>
      <c r="G7" s="23" t="n">
        <v>13605</v>
      </c>
      <c r="H7" s="23" t="n">
        <v>79731</v>
      </c>
      <c r="I7" s="23" t="n">
        <v>76239</v>
      </c>
      <c r="J7" s="23" t="n">
        <v>863080</v>
      </c>
      <c r="K7" s="23" t="n">
        <v>237063</v>
      </c>
      <c r="L7" s="23" t="n">
        <v>12531</v>
      </c>
      <c r="M7" s="23" t="n">
        <v>51785</v>
      </c>
      <c r="N7" s="23" t="n">
        <v>41668</v>
      </c>
      <c r="O7" s="23" t="n">
        <v>33925</v>
      </c>
    </row>
    <row r="8" customFormat="false" ht="15" hidden="false" customHeight="false" outlineLevel="0" collapsed="false">
      <c r="A8" s="14" t="n">
        <v>2010</v>
      </c>
      <c r="B8" s="15" t="s">
        <v>68</v>
      </c>
      <c r="C8" s="22" t="s">
        <v>90</v>
      </c>
      <c r="D8" s="24" t="n">
        <v>26671</v>
      </c>
      <c r="E8" s="24" t="n">
        <v>85882</v>
      </c>
      <c r="F8" s="24" t="n">
        <v>338795</v>
      </c>
      <c r="G8" s="24" t="n">
        <v>14625</v>
      </c>
      <c r="H8" s="24" t="n">
        <v>89299</v>
      </c>
      <c r="I8" s="24" t="n">
        <v>84626</v>
      </c>
      <c r="J8" s="24" t="n">
        <v>988227</v>
      </c>
      <c r="K8" s="24" t="n">
        <v>265510</v>
      </c>
      <c r="L8" s="24" t="n">
        <v>13973</v>
      </c>
      <c r="M8" s="24" t="n">
        <v>59294</v>
      </c>
      <c r="N8" s="24" t="n">
        <v>47293</v>
      </c>
      <c r="O8" s="24" t="n">
        <v>38674</v>
      </c>
    </row>
    <row r="9" customFormat="false" ht="15" hidden="false" customHeight="false" outlineLevel="0" collapsed="false">
      <c r="A9" s="11" t="n">
        <v>2011</v>
      </c>
      <c r="B9" s="12" t="s">
        <v>69</v>
      </c>
      <c r="C9" s="22" t="s">
        <v>90</v>
      </c>
      <c r="D9" s="23" t="n">
        <v>29738</v>
      </c>
      <c r="E9" s="23" t="n">
        <v>97047</v>
      </c>
      <c r="F9" s="23" t="n">
        <v>396391</v>
      </c>
      <c r="G9" s="23" t="n">
        <v>15649</v>
      </c>
      <c r="H9" s="23" t="n">
        <v>99568</v>
      </c>
      <c r="I9" s="23" t="n">
        <v>93511</v>
      </c>
      <c r="J9" s="23" t="n">
        <v>1126579</v>
      </c>
      <c r="K9" s="23" t="n">
        <v>296044</v>
      </c>
      <c r="L9" s="23" t="n">
        <v>15510</v>
      </c>
      <c r="M9" s="23" t="n">
        <v>67595</v>
      </c>
      <c r="N9" s="23" t="n">
        <v>53441</v>
      </c>
      <c r="O9" s="23" t="n">
        <v>43895</v>
      </c>
    </row>
    <row r="10" customFormat="false" ht="15" hidden="false" customHeight="false" outlineLevel="0" collapsed="false">
      <c r="A10" s="14" t="n">
        <v>2012</v>
      </c>
      <c r="B10" s="15" t="s">
        <v>70</v>
      </c>
      <c r="C10" s="22" t="s">
        <v>90</v>
      </c>
      <c r="D10" s="24" t="n">
        <v>33009</v>
      </c>
      <c r="E10" s="24" t="n">
        <v>109177</v>
      </c>
      <c r="F10" s="24" t="n">
        <v>459813</v>
      </c>
      <c r="G10" s="24" t="n">
        <v>16744</v>
      </c>
      <c r="H10" s="24" t="n">
        <v>110521</v>
      </c>
      <c r="I10" s="24" t="n">
        <v>102862</v>
      </c>
      <c r="J10" s="24" t="n">
        <v>1278667</v>
      </c>
      <c r="K10" s="24" t="n">
        <v>328609</v>
      </c>
      <c r="L10" s="24" t="n">
        <v>17138</v>
      </c>
      <c r="M10" s="24" t="n">
        <v>76720</v>
      </c>
      <c r="N10" s="24" t="n">
        <v>60121</v>
      </c>
      <c r="O10" s="24" t="n">
        <v>49602</v>
      </c>
    </row>
    <row r="11" customFormat="false" ht="15" hidden="false" customHeight="false" outlineLevel="0" collapsed="false">
      <c r="A11" s="11" t="n">
        <v>2013</v>
      </c>
      <c r="B11" s="12" t="s">
        <v>71</v>
      </c>
      <c r="C11" s="22" t="s">
        <v>90</v>
      </c>
      <c r="D11" s="23" t="n">
        <v>36475</v>
      </c>
      <c r="E11" s="23" t="n">
        <v>122279</v>
      </c>
      <c r="F11" s="23" t="n">
        <v>531084</v>
      </c>
      <c r="G11" s="23" t="n">
        <v>17916</v>
      </c>
      <c r="H11" s="23" t="n">
        <v>123231</v>
      </c>
      <c r="I11" s="23" t="n">
        <v>113663</v>
      </c>
      <c r="J11" s="23" t="n">
        <v>1457680</v>
      </c>
      <c r="K11" s="23" t="n">
        <v>366399</v>
      </c>
      <c r="L11" s="23" t="n">
        <v>18938</v>
      </c>
      <c r="M11" s="23" t="n">
        <v>87461</v>
      </c>
      <c r="N11" s="23" t="n">
        <v>67937</v>
      </c>
      <c r="O11" s="23" t="n">
        <v>56298</v>
      </c>
    </row>
    <row r="12" customFormat="false" ht="15" hidden="false" customHeight="false" outlineLevel="0" collapsed="false">
      <c r="A12" s="14" t="n">
        <v>2014</v>
      </c>
      <c r="B12" s="15" t="s">
        <v>72</v>
      </c>
      <c r="C12" s="22" t="s">
        <v>90</v>
      </c>
      <c r="D12" s="24" t="n">
        <v>40122</v>
      </c>
      <c r="E12" s="24" t="n">
        <v>135729</v>
      </c>
      <c r="F12" s="24" t="n">
        <v>605436</v>
      </c>
      <c r="G12" s="24" t="n">
        <v>19081</v>
      </c>
      <c r="H12" s="24" t="n">
        <v>138018</v>
      </c>
      <c r="I12" s="24" t="n">
        <v>125029</v>
      </c>
      <c r="J12" s="24" t="n">
        <v>1669044</v>
      </c>
      <c r="K12" s="24" t="n">
        <v>406703</v>
      </c>
      <c r="L12" s="24" t="n">
        <v>20831</v>
      </c>
      <c r="M12" s="24" t="n">
        <v>100143</v>
      </c>
      <c r="N12" s="24" t="n">
        <v>77108</v>
      </c>
      <c r="O12" s="24" t="n">
        <v>64180</v>
      </c>
    </row>
    <row r="13" customFormat="false" ht="15" hidden="false" customHeight="false" outlineLevel="0" collapsed="false">
      <c r="A13" s="11" t="n">
        <v>2015</v>
      </c>
      <c r="B13" s="12" t="s">
        <v>73</v>
      </c>
      <c r="C13" s="22" t="s">
        <v>90</v>
      </c>
      <c r="D13" s="23" t="n">
        <v>43733</v>
      </c>
      <c r="E13" s="23" t="n">
        <v>149302</v>
      </c>
      <c r="F13" s="23" t="n">
        <v>684142</v>
      </c>
      <c r="G13" s="23" t="n">
        <v>20226</v>
      </c>
      <c r="H13" s="23" t="n">
        <v>153891</v>
      </c>
      <c r="I13" s="23" t="n">
        <v>136907</v>
      </c>
      <c r="J13" s="23" t="n">
        <v>1902710</v>
      </c>
      <c r="K13" s="23" t="n">
        <v>449406</v>
      </c>
      <c r="L13" s="23" t="n">
        <v>22810</v>
      </c>
      <c r="M13" s="23" t="n">
        <v>115164</v>
      </c>
      <c r="N13" s="23" t="n">
        <v>87903</v>
      </c>
      <c r="O13" s="23" t="n">
        <v>73486</v>
      </c>
    </row>
    <row r="14" customFormat="false" ht="15" hidden="false" customHeight="false" outlineLevel="0" collapsed="false">
      <c r="A14" s="14" t="n">
        <v>2016</v>
      </c>
      <c r="B14" s="15" t="s">
        <v>74</v>
      </c>
      <c r="C14" s="22" t="s">
        <v>90</v>
      </c>
      <c r="D14" s="24" t="n">
        <v>47451</v>
      </c>
      <c r="E14" s="24" t="n">
        <v>163486</v>
      </c>
      <c r="F14" s="24" t="n">
        <v>769660</v>
      </c>
      <c r="G14" s="24" t="n">
        <v>21540</v>
      </c>
      <c r="H14" s="24" t="n">
        <v>170819</v>
      </c>
      <c r="I14" s="24" t="n">
        <v>156074</v>
      </c>
      <c r="J14" s="24" t="n">
        <v>2169089</v>
      </c>
      <c r="K14" s="24" t="n">
        <v>498841</v>
      </c>
      <c r="L14" s="24" t="n">
        <v>24863</v>
      </c>
      <c r="M14" s="24" t="n">
        <v>133014</v>
      </c>
      <c r="N14" s="24" t="n">
        <v>100649</v>
      </c>
      <c r="O14" s="24" t="n">
        <v>84508</v>
      </c>
    </row>
    <row r="15" customFormat="false" ht="15" hidden="false" customHeight="false" outlineLevel="0" collapsed="false">
      <c r="A15" s="11" t="n">
        <v>2017</v>
      </c>
      <c r="B15" s="12" t="s">
        <v>75</v>
      </c>
      <c r="C15" s="22" t="s">
        <v>90</v>
      </c>
      <c r="D15" s="23" t="n">
        <v>51247</v>
      </c>
      <c r="E15" s="23" t="n">
        <v>178200</v>
      </c>
      <c r="F15" s="23" t="n">
        <v>862020</v>
      </c>
      <c r="G15" s="23" t="n">
        <v>22833</v>
      </c>
      <c r="H15" s="23" t="n">
        <v>188754</v>
      </c>
      <c r="I15" s="23" t="n">
        <v>171681</v>
      </c>
      <c r="J15" s="23" t="n">
        <v>2461916</v>
      </c>
      <c r="K15" s="23" t="n">
        <v>551219</v>
      </c>
      <c r="L15" s="23" t="n">
        <v>27225</v>
      </c>
      <c r="M15" s="23" t="n">
        <v>152967</v>
      </c>
      <c r="N15" s="23" t="n">
        <v>115243</v>
      </c>
      <c r="O15" s="23" t="n">
        <v>97185</v>
      </c>
    </row>
    <row r="16" customFormat="false" ht="15" hidden="false" customHeight="false" outlineLevel="0" collapsed="false">
      <c r="A16" s="14" t="n">
        <v>2018</v>
      </c>
      <c r="B16" s="15" t="s">
        <v>76</v>
      </c>
      <c r="C16" s="22" t="s">
        <v>90</v>
      </c>
      <c r="D16" s="24" t="n">
        <v>55859</v>
      </c>
      <c r="E16" s="24" t="n">
        <v>196911</v>
      </c>
      <c r="F16" s="24" t="n">
        <v>982702</v>
      </c>
      <c r="G16" s="24" t="n">
        <v>24431</v>
      </c>
      <c r="H16" s="24" t="n">
        <v>211405</v>
      </c>
      <c r="I16" s="24" t="n">
        <v>190566</v>
      </c>
      <c r="J16" s="24" t="n">
        <v>2831204</v>
      </c>
      <c r="K16" s="24" t="n">
        <v>617366</v>
      </c>
      <c r="L16" s="24" t="n">
        <v>30084</v>
      </c>
      <c r="M16" s="24" t="n">
        <v>176676</v>
      </c>
      <c r="N16" s="24" t="n">
        <v>132530</v>
      </c>
      <c r="O16" s="24" t="n">
        <v>112248</v>
      </c>
    </row>
    <row r="17" customFormat="false" ht="15" hidden="false" customHeight="false" outlineLevel="0" collapsed="false">
      <c r="A17" s="11" t="n">
        <v>2019</v>
      </c>
      <c r="B17" s="12" t="s">
        <v>77</v>
      </c>
      <c r="C17" s="22" t="s">
        <v>90</v>
      </c>
      <c r="D17" s="23" t="n">
        <v>61166</v>
      </c>
      <c r="E17" s="23" t="n">
        <v>218571</v>
      </c>
      <c r="F17" s="23" t="n">
        <v>1130108</v>
      </c>
      <c r="G17" s="23" t="n">
        <v>26263</v>
      </c>
      <c r="H17" s="23" t="n">
        <v>237831</v>
      </c>
      <c r="I17" s="23" t="n">
        <v>212481</v>
      </c>
      <c r="J17" s="23" t="n">
        <v>3270040</v>
      </c>
      <c r="K17" s="23" t="n">
        <v>694536</v>
      </c>
      <c r="L17" s="23" t="n">
        <v>33393</v>
      </c>
      <c r="M17" s="23" t="n">
        <v>204945</v>
      </c>
      <c r="N17" s="23" t="n">
        <v>153072</v>
      </c>
      <c r="O17" s="23" t="n">
        <v>130208</v>
      </c>
    </row>
    <row r="18" customFormat="false" ht="15" hidden="false" customHeight="false" outlineLevel="0" collapsed="false">
      <c r="A18" s="14" t="n">
        <v>2020</v>
      </c>
      <c r="B18" s="15" t="s">
        <v>78</v>
      </c>
      <c r="C18" s="22" t="s">
        <v>90</v>
      </c>
      <c r="D18" s="24" t="n">
        <v>64224</v>
      </c>
      <c r="E18" s="24" t="n">
        <v>231685</v>
      </c>
      <c r="F18" s="24" t="n">
        <v>1220516</v>
      </c>
      <c r="G18" s="24" t="n">
        <v>27314</v>
      </c>
      <c r="H18" s="24" t="n">
        <v>253290</v>
      </c>
      <c r="I18" s="24" t="n">
        <v>225230</v>
      </c>
      <c r="J18" s="24" t="n">
        <v>3531644</v>
      </c>
      <c r="K18" s="24" t="n">
        <v>736209</v>
      </c>
      <c r="L18" s="24" t="n">
        <v>35230</v>
      </c>
      <c r="M18" s="24" t="n">
        <v>225439</v>
      </c>
      <c r="N18" s="24" t="n">
        <v>166848</v>
      </c>
      <c r="O18" s="24" t="n">
        <v>142578</v>
      </c>
    </row>
    <row r="19" customFormat="false" ht="15" hidden="false" customHeight="false" outlineLevel="0" collapsed="false">
      <c r="A19" s="11" t="n">
        <v>2021</v>
      </c>
      <c r="B19" s="12" t="s">
        <v>79</v>
      </c>
      <c r="C19" s="22" t="s">
        <v>90</v>
      </c>
      <c r="D19" s="23" t="n">
        <v>66793</v>
      </c>
      <c r="E19" s="23" t="n">
        <v>243270</v>
      </c>
      <c r="F19" s="23" t="n">
        <v>1293747</v>
      </c>
      <c r="G19" s="23" t="n">
        <v>28270</v>
      </c>
      <c r="H19" s="23" t="n">
        <v>267221</v>
      </c>
      <c r="I19" s="23" t="n">
        <v>236492</v>
      </c>
      <c r="J19" s="23" t="n">
        <v>3778859</v>
      </c>
      <c r="K19" s="23" t="n">
        <v>776700</v>
      </c>
      <c r="L19" s="23" t="n">
        <v>36815</v>
      </c>
      <c r="M19" s="23" t="n">
        <v>243474</v>
      </c>
      <c r="N19" s="23" t="n">
        <v>180196</v>
      </c>
      <c r="O19" s="23" t="n">
        <v>154697</v>
      </c>
    </row>
    <row r="20" customFormat="false" ht="15" hidden="false" customHeight="false" outlineLevel="0" collapsed="false">
      <c r="A20" s="14" t="n">
        <v>2022</v>
      </c>
      <c r="B20" s="15" t="s">
        <v>80</v>
      </c>
      <c r="C20" s="22" t="s">
        <v>90</v>
      </c>
      <c r="D20" s="24" t="n">
        <v>72804</v>
      </c>
      <c r="E20" s="24" t="n">
        <v>268813</v>
      </c>
      <c r="F20" s="24" t="n">
        <v>1461934</v>
      </c>
      <c r="G20" s="24" t="n">
        <v>30249</v>
      </c>
      <c r="H20" s="24" t="n">
        <v>297951</v>
      </c>
      <c r="I20" s="24" t="n">
        <v>261323</v>
      </c>
      <c r="J20" s="24" t="n">
        <v>4307899</v>
      </c>
      <c r="K20" s="24" t="n">
        <v>866021</v>
      </c>
      <c r="L20" s="24" t="n">
        <v>40681</v>
      </c>
      <c r="M20" s="24" t="n">
        <v>278778</v>
      </c>
      <c r="N20" s="24" t="n">
        <v>205424</v>
      </c>
      <c r="O20" s="24" t="n">
        <v>177128</v>
      </c>
    </row>
    <row r="21" customFormat="false" ht="15" hidden="false" customHeight="false" outlineLevel="0" collapsed="false">
      <c r="A21" s="11" t="n">
        <v>2023</v>
      </c>
      <c r="B21" s="12" t="s">
        <v>81</v>
      </c>
      <c r="C21" s="22" t="s">
        <v>90</v>
      </c>
      <c r="D21" s="23" t="n">
        <v>80084</v>
      </c>
      <c r="E21" s="23" t="n">
        <v>299726</v>
      </c>
      <c r="F21" s="23" t="n">
        <v>1681224</v>
      </c>
      <c r="G21" s="23" t="n">
        <v>32517</v>
      </c>
      <c r="H21" s="23" t="n">
        <v>335195</v>
      </c>
      <c r="I21" s="23" t="n">
        <v>292682</v>
      </c>
      <c r="J21" s="23" t="n">
        <v>4997163</v>
      </c>
      <c r="K21" s="23" t="n">
        <v>974273</v>
      </c>
      <c r="L21" s="23" t="n">
        <v>45359</v>
      </c>
      <c r="M21" s="23" t="n">
        <v>323383</v>
      </c>
      <c r="N21" s="23" t="n">
        <v>237264</v>
      </c>
      <c r="O21" s="23" t="n">
        <v>206354</v>
      </c>
    </row>
    <row r="22" customFormat="false" ht="15" hidden="false" customHeight="false" outlineLevel="0" collapsed="false">
      <c r="A22" s="14" t="n">
        <v>2024</v>
      </c>
      <c r="B22" s="15" t="s">
        <v>82</v>
      </c>
      <c r="C22" s="22" t="s">
        <v>90</v>
      </c>
      <c r="D22" s="24" t="n">
        <v>86892</v>
      </c>
      <c r="E22" s="24" t="n">
        <v>329699</v>
      </c>
      <c r="F22" s="24" t="n">
        <v>1908190</v>
      </c>
      <c r="G22" s="24" t="n">
        <v>34631</v>
      </c>
      <c r="H22" s="24" t="n">
        <v>372066</v>
      </c>
      <c r="I22" s="24" t="n">
        <v>323414</v>
      </c>
      <c r="J22" s="24" t="n">
        <v>5721751</v>
      </c>
      <c r="K22" s="24" t="n">
        <v>1086315</v>
      </c>
      <c r="L22" s="24" t="n">
        <v>49895</v>
      </c>
      <c r="M22" s="24" t="n">
        <v>370273</v>
      </c>
      <c r="N22" s="24" t="n">
        <v>270481</v>
      </c>
      <c r="O22" s="24" t="n">
        <v>237307</v>
      </c>
    </row>
    <row r="23" customFormat="false" ht="15" hidden="false" customHeight="false" outlineLevel="0" collapsed="false">
      <c r="A23" s="11" t="n">
        <v>2025</v>
      </c>
      <c r="B23" s="12" t="s">
        <v>83</v>
      </c>
      <c r="C23" s="22" t="s">
        <v>90</v>
      </c>
      <c r="D23" s="23" t="n">
        <v>92974</v>
      </c>
      <c r="E23" s="23" t="n">
        <v>357723</v>
      </c>
      <c r="F23" s="23" t="n">
        <v>2118091</v>
      </c>
      <c r="G23" s="23" t="n">
        <v>36362</v>
      </c>
      <c r="H23" s="23" t="n">
        <v>405552</v>
      </c>
      <c r="I23" s="23" t="n">
        <v>350904</v>
      </c>
      <c r="J23" s="23" t="n">
        <v>6408361</v>
      </c>
      <c r="K23" s="23" t="n">
        <v>1184083</v>
      </c>
      <c r="L23" s="23" t="n">
        <v>53886</v>
      </c>
      <c r="M23" s="23" t="n">
        <v>414706</v>
      </c>
      <c r="N23" s="23" t="n">
        <v>301587</v>
      </c>
      <c r="O23" s="23" t="n">
        <v>266970</v>
      </c>
    </row>
    <row r="25" customFormat="false" ht="15" hidden="false" customHeight="false" outlineLevel="0" collapsed="false">
      <c r="A25" s="19" t="s">
        <v>91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</sheetData>
  <mergeCells count="2">
    <mergeCell ref="A1:P1"/>
    <mergeCell ref="A25:P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7" min="5" style="0" width="18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7" t="s">
        <v>92</v>
      </c>
      <c r="B1" s="7"/>
      <c r="C1" s="7"/>
      <c r="D1" s="7"/>
      <c r="E1" s="7"/>
      <c r="F1" s="7"/>
      <c r="G1" s="7"/>
      <c r="H1" s="7"/>
    </row>
    <row r="2" customFormat="false" ht="30" hidden="false" customHeight="true" outlineLevel="0" collapsed="false">
      <c r="A2" s="25" t="s">
        <v>93</v>
      </c>
      <c r="B2" s="25" t="s">
        <v>94</v>
      </c>
      <c r="C2" s="25" t="s">
        <v>95</v>
      </c>
      <c r="D2" s="25" t="s">
        <v>96</v>
      </c>
      <c r="E2" s="25" t="s">
        <v>97</v>
      </c>
      <c r="F2" s="25" t="s">
        <v>98</v>
      </c>
      <c r="G2" s="25" t="s">
        <v>99</v>
      </c>
      <c r="H2" s="25" t="s">
        <v>100</v>
      </c>
    </row>
    <row r="3" customFormat="false" ht="15" hidden="false" customHeight="false" outlineLevel="0" collapsed="false">
      <c r="A3" s="26" t="s">
        <v>50</v>
      </c>
      <c r="B3" s="26" t="s">
        <v>101</v>
      </c>
      <c r="C3" s="27" t="n">
        <v>8.3</v>
      </c>
      <c r="D3" s="27" t="n">
        <v>8.09</v>
      </c>
      <c r="E3" s="27" t="n">
        <v>373.5</v>
      </c>
      <c r="F3" s="26" t="s">
        <v>102</v>
      </c>
      <c r="G3" s="26" t="s">
        <v>102</v>
      </c>
      <c r="H3" s="26" t="s">
        <v>103</v>
      </c>
    </row>
    <row r="4" customFormat="false" ht="15" hidden="false" customHeight="false" outlineLevel="0" collapsed="false">
      <c r="A4" s="28" t="s">
        <v>51</v>
      </c>
      <c r="B4" s="28" t="s">
        <v>104</v>
      </c>
      <c r="C4" s="29" t="n">
        <v>9.64</v>
      </c>
      <c r="D4" s="29" t="n">
        <v>9.55</v>
      </c>
      <c r="E4" s="29" t="n">
        <v>519.8</v>
      </c>
      <c r="F4" s="28" t="s">
        <v>105</v>
      </c>
      <c r="G4" s="28" t="s">
        <v>106</v>
      </c>
      <c r="H4" s="28" t="s">
        <v>107</v>
      </c>
    </row>
    <row r="5" customFormat="false" ht="15" hidden="false" customHeight="false" outlineLevel="0" collapsed="false">
      <c r="A5" s="26" t="s">
        <v>52</v>
      </c>
      <c r="B5" s="26" t="s">
        <v>108</v>
      </c>
      <c r="C5" s="27" t="n">
        <v>11.02</v>
      </c>
      <c r="D5" s="27" t="n">
        <v>10.92</v>
      </c>
      <c r="E5" s="27" t="n">
        <v>694.9</v>
      </c>
      <c r="F5" s="26" t="s">
        <v>109</v>
      </c>
      <c r="G5" s="26" t="s">
        <v>110</v>
      </c>
      <c r="H5" s="26" t="s">
        <v>111</v>
      </c>
    </row>
    <row r="6" customFormat="false" ht="15" hidden="false" customHeight="false" outlineLevel="0" collapsed="false">
      <c r="A6" s="28" t="s">
        <v>53</v>
      </c>
      <c r="B6" s="28" t="s">
        <v>112</v>
      </c>
      <c r="C6" s="29" t="n">
        <v>14.29</v>
      </c>
      <c r="D6" s="29" t="n">
        <v>14.15</v>
      </c>
      <c r="E6" s="29" t="n">
        <v>1312.1</v>
      </c>
      <c r="F6" s="28" t="s">
        <v>113</v>
      </c>
      <c r="G6" s="28" t="s">
        <v>114</v>
      </c>
      <c r="H6" s="28" t="s">
        <v>115</v>
      </c>
    </row>
    <row r="7" customFormat="false" ht="15" hidden="false" customHeight="false" outlineLevel="0" collapsed="false">
      <c r="A7" s="26" t="s">
        <v>54</v>
      </c>
      <c r="B7" s="26" t="s">
        <v>116</v>
      </c>
      <c r="C7" s="27" t="n">
        <v>6.69</v>
      </c>
      <c r="D7" s="27" t="n">
        <v>6.67</v>
      </c>
      <c r="E7" s="27" t="n">
        <v>263.6</v>
      </c>
      <c r="F7" s="26" t="s">
        <v>117</v>
      </c>
      <c r="G7" s="26" t="s">
        <v>118</v>
      </c>
      <c r="H7" s="26" t="s">
        <v>119</v>
      </c>
    </row>
    <row r="8" customFormat="false" ht="15" hidden="false" customHeight="false" outlineLevel="0" collapsed="false">
      <c r="A8" s="28" t="s">
        <v>55</v>
      </c>
      <c r="B8" s="28" t="s">
        <v>120</v>
      </c>
      <c r="C8" s="29" t="n">
        <v>11.05</v>
      </c>
      <c r="D8" s="29" t="n">
        <v>11.03</v>
      </c>
      <c r="E8" s="29" t="n">
        <v>711.1</v>
      </c>
      <c r="F8" s="28" t="s">
        <v>121</v>
      </c>
      <c r="G8" s="28" t="s">
        <v>122</v>
      </c>
      <c r="H8" s="28" t="s">
        <v>123</v>
      </c>
    </row>
    <row r="9" customFormat="false" ht="15" hidden="false" customHeight="false" outlineLevel="0" collapsed="false">
      <c r="A9" s="26" t="s">
        <v>56</v>
      </c>
      <c r="B9" s="26" t="s">
        <v>124</v>
      </c>
      <c r="C9" s="27" t="n">
        <v>10.21</v>
      </c>
      <c r="D9" s="27" t="n">
        <v>10.23</v>
      </c>
      <c r="E9" s="27" t="n">
        <v>601.8</v>
      </c>
      <c r="F9" s="26" t="s">
        <v>121</v>
      </c>
      <c r="G9" s="26" t="s">
        <v>125</v>
      </c>
      <c r="H9" s="26" t="s">
        <v>126</v>
      </c>
    </row>
    <row r="10" customFormat="false" ht="15" hidden="false" customHeight="false" outlineLevel="0" collapsed="false">
      <c r="A10" s="28" t="s">
        <v>57</v>
      </c>
      <c r="B10" s="28" t="s">
        <v>127</v>
      </c>
      <c r="C10" s="29" t="n">
        <v>13.6</v>
      </c>
      <c r="D10" s="29" t="n">
        <v>13.6</v>
      </c>
      <c r="E10" s="29" t="n">
        <v>1181.7</v>
      </c>
      <c r="F10" s="28" t="s">
        <v>128</v>
      </c>
      <c r="G10" s="28" t="s">
        <v>129</v>
      </c>
      <c r="H10" s="28" t="s">
        <v>130</v>
      </c>
    </row>
    <row r="11" customFormat="false" ht="15" hidden="false" customHeight="false" outlineLevel="0" collapsed="false">
      <c r="A11" s="26" t="s">
        <v>58</v>
      </c>
      <c r="B11" s="26" t="s">
        <v>131</v>
      </c>
      <c r="C11" s="27" t="n">
        <v>10.88</v>
      </c>
      <c r="D11" s="27" t="n">
        <v>10.88</v>
      </c>
      <c r="E11" s="27" t="n">
        <v>689.4</v>
      </c>
      <c r="F11" s="26" t="s">
        <v>113</v>
      </c>
      <c r="G11" s="26" t="s">
        <v>132</v>
      </c>
      <c r="H11" s="26" t="s">
        <v>133</v>
      </c>
    </row>
    <row r="12" customFormat="false" ht="15" hidden="false" customHeight="false" outlineLevel="0" collapsed="false">
      <c r="A12" s="28" t="s">
        <v>59</v>
      </c>
      <c r="B12" s="28" t="s">
        <v>134</v>
      </c>
      <c r="C12" s="29" t="n">
        <v>10.05</v>
      </c>
      <c r="D12" s="29" t="n">
        <v>10.01</v>
      </c>
      <c r="E12" s="29" t="n">
        <v>573.6</v>
      </c>
      <c r="F12" s="28" t="s">
        <v>135</v>
      </c>
      <c r="G12" s="28" t="s">
        <v>136</v>
      </c>
      <c r="H12" s="28" t="s">
        <v>137</v>
      </c>
    </row>
    <row r="13" customFormat="false" ht="15" hidden="false" customHeight="false" outlineLevel="0" collapsed="false">
      <c r="A13" s="26" t="s">
        <v>60</v>
      </c>
      <c r="B13" s="26" t="s">
        <v>138</v>
      </c>
      <c r="C13" s="27" t="n">
        <v>14</v>
      </c>
      <c r="D13" s="27" t="n">
        <v>14.03</v>
      </c>
      <c r="E13" s="27" t="n">
        <v>1282.4</v>
      </c>
      <c r="F13" s="26" t="s">
        <v>139</v>
      </c>
      <c r="G13" s="26" t="s">
        <v>140</v>
      </c>
      <c r="H13" s="26" t="s">
        <v>141</v>
      </c>
    </row>
    <row r="14" customFormat="false" ht="15" hidden="false" customHeight="false" outlineLevel="0" collapsed="false">
      <c r="A14" s="28" t="s">
        <v>61</v>
      </c>
      <c r="B14" s="28" t="s">
        <v>142</v>
      </c>
      <c r="C14" s="29" t="n">
        <v>13.21</v>
      </c>
      <c r="D14" s="29" t="n">
        <v>13.26</v>
      </c>
      <c r="E14" s="29" t="n">
        <v>1106.3</v>
      </c>
      <c r="F14" s="28" t="s">
        <v>143</v>
      </c>
      <c r="G14" s="28" t="s">
        <v>144</v>
      </c>
      <c r="H14" s="28" t="s">
        <v>145</v>
      </c>
    </row>
    <row r="15" customFormat="false" ht="15" hidden="false" customHeight="false" outlineLevel="0" collapsed="false">
      <c r="A15" s="26" t="s">
        <v>62</v>
      </c>
      <c r="B15" s="26" t="s">
        <v>146</v>
      </c>
      <c r="C15" s="27" t="n">
        <v>13.79</v>
      </c>
      <c r="D15" s="27" t="n">
        <v>13.83</v>
      </c>
      <c r="E15" s="27" t="n">
        <v>1234.9</v>
      </c>
      <c r="F15" s="26" t="s">
        <v>147</v>
      </c>
      <c r="G15" s="26" t="s">
        <v>148</v>
      </c>
      <c r="H15" s="26" t="s">
        <v>149</v>
      </c>
    </row>
    <row r="18" customFormat="false" ht="15" hidden="false" customHeight="false" outlineLevel="0" collapsed="false">
      <c r="A18" s="30" t="s">
        <v>150</v>
      </c>
    </row>
    <row r="19" customFormat="false" ht="15" hidden="false" customHeight="false" outlineLevel="0" collapsed="false">
      <c r="A19" s="31" t="s">
        <v>2</v>
      </c>
      <c r="B19" s="32" t="s">
        <v>151</v>
      </c>
    </row>
    <row r="20" customFormat="false" ht="15" hidden="false" customHeight="false" outlineLevel="0" collapsed="false">
      <c r="A20" s="31" t="s">
        <v>152</v>
      </c>
      <c r="B20" s="32" t="s">
        <v>153</v>
      </c>
    </row>
    <row r="21" customFormat="false" ht="15" hidden="false" customHeight="false" outlineLevel="0" collapsed="false">
      <c r="A21" s="31" t="s">
        <v>6</v>
      </c>
      <c r="B21" s="32" t="s">
        <v>7</v>
      </c>
    </row>
    <row r="22" customFormat="false" ht="15" hidden="false" customHeight="false" outlineLevel="0" collapsed="false">
      <c r="A22" s="31" t="s">
        <v>154</v>
      </c>
      <c r="B22" s="32" t="s">
        <v>155</v>
      </c>
    </row>
    <row r="23" customFormat="false" ht="15" hidden="false" customHeight="false" outlineLevel="0" collapsed="false">
      <c r="A23" s="31" t="s">
        <v>156</v>
      </c>
      <c r="B23" s="32" t="s">
        <v>157</v>
      </c>
    </row>
    <row r="24" customFormat="false" ht="15" hidden="false" customHeight="false" outlineLevel="0" collapsed="false">
      <c r="A24" s="31" t="s">
        <v>158</v>
      </c>
      <c r="B24" s="32" t="s">
        <v>159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2026-02-23T00:17:40Z</dcterms:created>
  <dc:creator>openpyxl</dc:creator>
  <dc:description/>
  <dc:language>en-US</dc:language>
  <cp:lastModifiedBy/>
  <dcterms:modified xsi:type="dcterms:W3CDTF">2026-02-23T00:17:41Z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